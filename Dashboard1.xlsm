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Sudipta Sarkar\Desktop\"/>
    </mc:Choice>
  </mc:AlternateContent>
  <xr:revisionPtr revIDLastSave="0" documentId="13_ncr:1_{4907A9C6-152A-4E57-993B-48C812919288}" xr6:coauthVersionLast="47" xr6:coauthVersionMax="47" xr10:uidLastSave="{00000000-0000-0000-0000-000000000000}"/>
  <bookViews>
    <workbookView xWindow="-108" yWindow="-108" windowWidth="23256" windowHeight="12456" xr2:uid="{F11EFDEB-930F-4CC1-9599-97081FF20046}"/>
  </bookViews>
  <sheets>
    <sheet name="Dashboard" sheetId="2" r:id="rId1"/>
    <sheet name="Raw Data" sheetId="1" r:id="rId2"/>
  </sheets>
  <definedNames>
    <definedName name="Slicer_Region">#N/A</definedName>
  </definedNames>
  <calcPr calcId="191029"/>
  <pivotCaches>
    <pivotCache cacheId="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1" l="1"/>
  <c r="E3" i="1"/>
  <c r="F3" i="1"/>
  <c r="G3" i="1"/>
  <c r="H3" i="1"/>
  <c r="D4" i="1"/>
  <c r="E4" i="1"/>
  <c r="F4" i="1"/>
  <c r="G4" i="1"/>
  <c r="H4" i="1"/>
  <c r="D5" i="1"/>
  <c r="E5" i="1"/>
  <c r="F5" i="1"/>
  <c r="G5" i="1"/>
  <c r="H5" i="1"/>
  <c r="D6" i="1"/>
  <c r="E6" i="1"/>
  <c r="F6" i="1"/>
  <c r="G6" i="1"/>
  <c r="H6" i="1"/>
  <c r="D7" i="1"/>
  <c r="E7" i="1"/>
  <c r="F7" i="1"/>
  <c r="G7" i="1"/>
  <c r="H7" i="1"/>
  <c r="D8" i="1"/>
  <c r="E8" i="1"/>
  <c r="F8" i="1"/>
  <c r="G8" i="1"/>
  <c r="H8" i="1"/>
  <c r="D9" i="1"/>
  <c r="E9" i="1"/>
  <c r="F9" i="1"/>
  <c r="G9" i="1"/>
  <c r="H9" i="1"/>
  <c r="D10" i="1"/>
  <c r="E10" i="1"/>
  <c r="F10" i="1"/>
  <c r="G10" i="1"/>
  <c r="H10" i="1"/>
  <c r="D11" i="1"/>
  <c r="E11" i="1"/>
  <c r="F11" i="1"/>
  <c r="G11" i="1"/>
  <c r="H11" i="1"/>
  <c r="D12" i="1"/>
  <c r="E12" i="1"/>
  <c r="F12" i="1"/>
  <c r="G12" i="1"/>
  <c r="H12" i="1"/>
  <c r="D13" i="1"/>
  <c r="E13" i="1"/>
  <c r="F13" i="1"/>
  <c r="G13" i="1"/>
  <c r="H13" i="1"/>
  <c r="D14" i="1"/>
  <c r="E14" i="1"/>
  <c r="F14" i="1"/>
  <c r="G14" i="1"/>
  <c r="H14" i="1"/>
  <c r="D15" i="1"/>
  <c r="E15" i="1"/>
  <c r="F15" i="1"/>
  <c r="G15" i="1"/>
  <c r="H15" i="1"/>
  <c r="D16" i="1"/>
  <c r="E16" i="1"/>
  <c r="F16" i="1"/>
  <c r="G16" i="1"/>
  <c r="H16" i="1"/>
  <c r="D17" i="1"/>
  <c r="E17" i="1"/>
  <c r="F17" i="1"/>
  <c r="G17" i="1"/>
  <c r="H17" i="1"/>
  <c r="D18" i="1"/>
  <c r="E18" i="1"/>
  <c r="F18" i="1"/>
  <c r="G18" i="1"/>
  <c r="H18" i="1"/>
  <c r="D19" i="1"/>
  <c r="E19" i="1"/>
  <c r="F19" i="1"/>
  <c r="G19" i="1"/>
  <c r="H19" i="1"/>
  <c r="D20" i="1"/>
  <c r="E20" i="1"/>
  <c r="F20" i="1"/>
  <c r="G20" i="1"/>
  <c r="H20" i="1"/>
  <c r="D21" i="1"/>
  <c r="E21" i="1"/>
  <c r="F21" i="1"/>
  <c r="G21" i="1"/>
  <c r="H21" i="1"/>
  <c r="D22" i="1"/>
  <c r="E22" i="1"/>
  <c r="F22" i="1"/>
  <c r="G22" i="1"/>
  <c r="H22" i="1"/>
  <c r="D23" i="1"/>
  <c r="E23" i="1"/>
  <c r="F23" i="1"/>
  <c r="G23" i="1"/>
  <c r="H23" i="1"/>
  <c r="D24" i="1"/>
  <c r="E24" i="1"/>
  <c r="F24" i="1"/>
  <c r="G24" i="1"/>
  <c r="H24" i="1"/>
  <c r="D25" i="1"/>
  <c r="E25" i="1"/>
  <c r="F25" i="1"/>
  <c r="G25" i="1"/>
  <c r="H25" i="1"/>
  <c r="D26" i="1"/>
  <c r="E26" i="1"/>
  <c r="F26" i="1"/>
  <c r="G26" i="1"/>
  <c r="H26" i="1"/>
  <c r="D27" i="1"/>
  <c r="E27" i="1"/>
  <c r="F27" i="1"/>
  <c r="G27" i="1"/>
  <c r="H27" i="1"/>
  <c r="D28" i="1"/>
  <c r="E28" i="1"/>
  <c r="F28" i="1"/>
  <c r="G28" i="1"/>
  <c r="H28" i="1"/>
  <c r="D29" i="1"/>
  <c r="E29" i="1"/>
  <c r="F29" i="1"/>
  <c r="G29" i="1"/>
  <c r="H29" i="1"/>
  <c r="D30" i="1"/>
  <c r="E30" i="1"/>
  <c r="F30" i="1"/>
  <c r="G30" i="1"/>
  <c r="H30" i="1"/>
  <c r="D31" i="1"/>
  <c r="E31" i="1"/>
  <c r="F31" i="1"/>
  <c r="G31" i="1"/>
  <c r="H31" i="1"/>
  <c r="E2" i="1"/>
  <c r="F2" i="1"/>
  <c r="G2" i="1"/>
  <c r="H2" i="1"/>
  <c r="D2" i="1"/>
  <c r="I2" i="1" l="1"/>
  <c r="K2" i="1" s="1"/>
  <c r="I24" i="1"/>
  <c r="I12" i="1"/>
  <c r="I31" i="1"/>
  <c r="I26" i="1"/>
  <c r="I19" i="1"/>
  <c r="I14" i="1"/>
  <c r="I7" i="1"/>
  <c r="I28" i="1"/>
  <c r="I21" i="1"/>
  <c r="I16" i="1"/>
  <c r="I9" i="1"/>
  <c r="I4" i="1"/>
  <c r="I25" i="1"/>
  <c r="I13" i="1"/>
  <c r="I23" i="1"/>
  <c r="I11" i="1"/>
  <c r="I30" i="1"/>
  <c r="I27" i="1"/>
  <c r="I18" i="1"/>
  <c r="I15" i="1"/>
  <c r="I6" i="1"/>
  <c r="I22" i="1"/>
  <c r="I10" i="1"/>
  <c r="I3" i="1"/>
  <c r="I20" i="1"/>
  <c r="I8" i="1"/>
  <c r="I29" i="1"/>
  <c r="I17" i="1"/>
  <c r="I5" i="1"/>
  <c r="L2" i="1" l="1"/>
  <c r="K10" i="1"/>
  <c r="L10" i="1"/>
  <c r="K21" i="1"/>
  <c r="L21" i="1"/>
  <c r="K18" i="1"/>
  <c r="L18" i="1"/>
  <c r="K7" i="1"/>
  <c r="L7" i="1"/>
  <c r="K5" i="1"/>
  <c r="L5" i="1"/>
  <c r="K11" i="1"/>
  <c r="L11" i="1"/>
  <c r="K31" i="1"/>
  <c r="L31" i="1"/>
  <c r="K9" i="1"/>
  <c r="L9" i="1"/>
  <c r="K6" i="1"/>
  <c r="L6" i="1"/>
  <c r="K28" i="1"/>
  <c r="L28" i="1"/>
  <c r="K27" i="1"/>
  <c r="L27" i="1"/>
  <c r="K19" i="1"/>
  <c r="L19" i="1"/>
  <c r="K26" i="1"/>
  <c r="L26" i="1"/>
  <c r="K23" i="1"/>
  <c r="L23" i="1"/>
  <c r="K8" i="1"/>
  <c r="L8" i="1"/>
  <c r="K13" i="1"/>
  <c r="L13" i="1"/>
  <c r="K12" i="1"/>
  <c r="L12" i="1"/>
  <c r="K22" i="1"/>
  <c r="L22" i="1"/>
  <c r="K15" i="1"/>
  <c r="L15" i="1"/>
  <c r="K14" i="1"/>
  <c r="L14" i="1"/>
  <c r="K30" i="1"/>
  <c r="L30" i="1"/>
  <c r="K17" i="1"/>
  <c r="L17" i="1"/>
  <c r="K29" i="1"/>
  <c r="L29" i="1"/>
  <c r="K20" i="1"/>
  <c r="L20" i="1"/>
  <c r="K25" i="1"/>
  <c r="L25" i="1"/>
  <c r="K24" i="1"/>
  <c r="L24" i="1"/>
  <c r="K16" i="1"/>
  <c r="L16" i="1"/>
  <c r="K3" i="1"/>
  <c r="L3" i="1"/>
  <c r="K4" i="1"/>
  <c r="L4" i="1"/>
</calcChain>
</file>

<file path=xl/sharedStrings.xml><?xml version="1.0" encoding="utf-8"?>
<sst xmlns="http://schemas.openxmlformats.org/spreadsheetml/2006/main" count="154" uniqueCount="83">
  <si>
    <t>Emp Code</t>
  </si>
  <si>
    <t>Sales Executive</t>
  </si>
  <si>
    <t>Region</t>
  </si>
  <si>
    <t>Day1</t>
  </si>
  <si>
    <t>Day2</t>
  </si>
  <si>
    <t>Day3</t>
  </si>
  <si>
    <t>Day4</t>
  </si>
  <si>
    <t>Day5</t>
  </si>
  <si>
    <t>Total Sales</t>
  </si>
  <si>
    <t>TCL001</t>
  </si>
  <si>
    <t>TCL002</t>
  </si>
  <si>
    <t>TCL003</t>
  </si>
  <si>
    <t>TCL004</t>
  </si>
  <si>
    <t>TCL005</t>
  </si>
  <si>
    <t>TCL006</t>
  </si>
  <si>
    <t>TCL007</t>
  </si>
  <si>
    <t>TCL008</t>
  </si>
  <si>
    <t>TCL009</t>
  </si>
  <si>
    <t>TCL010</t>
  </si>
  <si>
    <t>TCL011</t>
  </si>
  <si>
    <t>TCL012</t>
  </si>
  <si>
    <t>TCL013</t>
  </si>
  <si>
    <t>TCL014</t>
  </si>
  <si>
    <t>TCL015</t>
  </si>
  <si>
    <t>TCL016</t>
  </si>
  <si>
    <t>TCL017</t>
  </si>
  <si>
    <t>TCL018</t>
  </si>
  <si>
    <t>TCL019</t>
  </si>
  <si>
    <t>TCL020</t>
  </si>
  <si>
    <t>TCL021</t>
  </si>
  <si>
    <t>TCL022</t>
  </si>
  <si>
    <t>TCL023</t>
  </si>
  <si>
    <t>TCL024</t>
  </si>
  <si>
    <t>TCL025</t>
  </si>
  <si>
    <t>TCL026</t>
  </si>
  <si>
    <t>TCL027</t>
  </si>
  <si>
    <t>TCL028</t>
  </si>
  <si>
    <t>TCL029</t>
  </si>
  <si>
    <t>TCL030</t>
  </si>
  <si>
    <t>Sudipta Sarkar</t>
  </si>
  <si>
    <t>Ansh Bhatt</t>
  </si>
  <si>
    <t>Yash Karakoti</t>
  </si>
  <si>
    <t>Sneha Sahdev</t>
  </si>
  <si>
    <t>Tanishq Chauhan</t>
  </si>
  <si>
    <t>Rishi Devrana</t>
  </si>
  <si>
    <t>Sachin Sharma</t>
  </si>
  <si>
    <t>Narayan Bhardwaj</t>
  </si>
  <si>
    <t>Maitreyi Mamgain</t>
  </si>
  <si>
    <t>Avi Rajput</t>
  </si>
  <si>
    <t>Harshil Sharma</t>
  </si>
  <si>
    <t>Sagnik Majumdar</t>
  </si>
  <si>
    <t>Nitu Acharya</t>
  </si>
  <si>
    <t>Pradip Sarkar</t>
  </si>
  <si>
    <t>Madhumita Sarkar</t>
  </si>
  <si>
    <t>Ishaan Azam</t>
  </si>
  <si>
    <t>Shirsh Raj</t>
  </si>
  <si>
    <t>Manav Sharma</t>
  </si>
  <si>
    <t>Daksh Baweja</t>
  </si>
  <si>
    <t>Chhavi Tyagi</t>
  </si>
  <si>
    <t>Riya Sharma</t>
  </si>
  <si>
    <t>Sanat Majumdar</t>
  </si>
  <si>
    <t>Shritama Banerjee</t>
  </si>
  <si>
    <t>Kiron Chakroborty</t>
  </si>
  <si>
    <t>Purnima Acharjee</t>
  </si>
  <si>
    <t>Ranjit Acharya</t>
  </si>
  <si>
    <t>Kartavya Chauhan</t>
  </si>
  <si>
    <t>Gunika Tyagi</t>
  </si>
  <si>
    <t>Divyanshi Kharbanda</t>
  </si>
  <si>
    <t>Anshika Maggo</t>
  </si>
  <si>
    <t>Kolkata</t>
  </si>
  <si>
    <t>Ghaziabad</t>
  </si>
  <si>
    <t>Noida</t>
  </si>
  <si>
    <t>Jaipur</t>
  </si>
  <si>
    <t>Kanpur</t>
  </si>
  <si>
    <t>Delhi</t>
  </si>
  <si>
    <t>Target</t>
  </si>
  <si>
    <t>Target Hit %</t>
  </si>
  <si>
    <t>Away from Target %</t>
  </si>
  <si>
    <t>Row Labels</t>
  </si>
  <si>
    <t>Grand Total</t>
  </si>
  <si>
    <t xml:space="preserve">Total Sales </t>
  </si>
  <si>
    <t>Sum of Target Hit %</t>
  </si>
  <si>
    <t xml:space="preserve">Away from Target %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</si>
</sst>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1"/>
      <color theme="1"/>
      <name val="Calibri"/>
      <family val="2"/>
      <scheme val="minor"/>
    </font>
    <font>
      <sz val="8"/>
      <name val="Calibri"/>
      <family val="2"/>
      <scheme val="minor"/>
    </font>
    <font>
      <sz val="8"/>
      <color rgb="FF000000"/>
      <name val="Segoe UI"/>
      <family val="2"/>
    </font>
  </fonts>
  <fills count="3">
    <fill>
      <patternFill patternType="none"/>
    </fill>
    <fill>
      <patternFill patternType="gray125"/>
    </fill>
    <fill>
      <patternFill patternType="solid">
        <fgColor theme="2" tint="-9.9978637043366805E-2"/>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7">
    <xf numFmtId="0" fontId="0" fillId="0" borderId="0" xfId="0"/>
    <xf numFmtId="10" fontId="0" fillId="0" borderId="0" xfId="1" applyNumberFormat="1" applyFont="1"/>
    <xf numFmtId="0" fontId="0" fillId="0" borderId="0" xfId="0" pivotButton="1"/>
    <xf numFmtId="0" fontId="0" fillId="0" borderId="0" xfId="0" applyAlignment="1">
      <alignment horizontal="left"/>
    </xf>
    <xf numFmtId="10" fontId="0" fillId="0" borderId="0" xfId="0" applyNumberFormat="1"/>
    <xf numFmtId="0" fontId="0" fillId="2" borderId="0" xfId="0" applyFill="1"/>
    <xf numFmtId="0" fontId="0" fillId="0" borderId="0" xfId="0" applyNumberFormat="1"/>
  </cellXfs>
  <cellStyles count="2">
    <cellStyle name="Normal" xfId="0" builtinId="0"/>
    <cellStyle name="Percent" xfId="1" builtinId="5"/>
  </cellStyles>
  <dxfs count="1">
    <dxf>
      <fill>
        <patternFill>
          <bgColor theme="9" tint="0.39994506668294322"/>
        </patternFill>
      </fill>
    </dxf>
  </dxfs>
  <tableStyles count="1" defaultTableStyle="TableStyleMedium2" defaultPivotStyle="PivotStyleLight16">
    <tableStyle name="Slicer Style 1" pivot="0" table="0" count="3" xr9:uid="{F120A3E0-8FB9-4747-8D2E-156F25AEB3B8}">
      <tableStyleElement type="wholeTable" dxfId="0"/>
    </tableStyle>
  </tableStyles>
  <extLst>
    <ext xmlns:x14="http://schemas.microsoft.com/office/spreadsheetml/2009/9/main" uri="{46F421CA-312F-682f-3DD2-61675219B42D}">
      <x14:dxfs count="2">
        <dxf>
          <fill>
            <patternFill>
              <bgColor theme="8" tint="0.39994506668294322"/>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[Book1.xlsm]Dashboard!PivotTable1</c:name>
    <c:fmtId val="0"/>
  </c:pivotSource>
  <c:chart>
    <c:autoTitleDeleted val="1"/>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0109558180227473"/>
          <c:y val="9.1988553514144061E-2"/>
          <c:w val="0.47738582677165353"/>
          <c:h val="0.83764909594634007"/>
        </c:manualLayout>
      </c:layout>
      <c:barChart>
        <c:barDir val="bar"/>
        <c:grouping val="clustered"/>
        <c:varyColors val="0"/>
        <c:ser>
          <c:idx val="0"/>
          <c:order val="0"/>
          <c:tx>
            <c:strRef>
              <c:f>Dashboard!$B$3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Dashboard!$A$4:$A$14</c:f>
              <c:strCache>
                <c:ptCount val="10"/>
                <c:pt idx="0">
                  <c:v>Ansh Bhatt</c:v>
                </c:pt>
                <c:pt idx="1">
                  <c:v>Divyanshi Kharbanda</c:v>
                </c:pt>
                <c:pt idx="2">
                  <c:v>Gunika Tyagi</c:v>
                </c:pt>
                <c:pt idx="3">
                  <c:v>Ishaan Azam</c:v>
                </c:pt>
                <c:pt idx="4">
                  <c:v>Kartavya Chauhan</c:v>
                </c:pt>
                <c:pt idx="5">
                  <c:v>Maitreyi Mamgain</c:v>
                </c:pt>
                <c:pt idx="6">
                  <c:v>Narayan Bhardwaj</c:v>
                </c:pt>
                <c:pt idx="7">
                  <c:v>Riya Sharma</c:v>
                </c:pt>
                <c:pt idx="8">
                  <c:v>Sagnik Majumdar</c:v>
                </c:pt>
                <c:pt idx="9">
                  <c:v>Tanishq Chauhan</c:v>
                </c:pt>
              </c:strCache>
            </c:strRef>
          </c:cat>
          <c:val>
            <c:numRef>
              <c:f>Dashboard!$B$4:$B$14</c:f>
              <c:numCache>
                <c:formatCode>General</c:formatCode>
                <c:ptCount val="10"/>
                <c:pt idx="0">
                  <c:v>339</c:v>
                </c:pt>
                <c:pt idx="1">
                  <c:v>334</c:v>
                </c:pt>
                <c:pt idx="2">
                  <c:v>321</c:v>
                </c:pt>
                <c:pt idx="3">
                  <c:v>343</c:v>
                </c:pt>
                <c:pt idx="4">
                  <c:v>383</c:v>
                </c:pt>
                <c:pt idx="5">
                  <c:v>348</c:v>
                </c:pt>
                <c:pt idx="6">
                  <c:v>423</c:v>
                </c:pt>
                <c:pt idx="7">
                  <c:v>326</c:v>
                </c:pt>
                <c:pt idx="8">
                  <c:v>357</c:v>
                </c:pt>
                <c:pt idx="9">
                  <c:v>306</c:v>
                </c:pt>
              </c:numCache>
            </c:numRef>
          </c:val>
          <c:extLst>
            <c:ext xmlns:c16="http://schemas.microsoft.com/office/drawing/2014/chart" uri="{C3380CC4-5D6E-409C-BE32-E72D297353CC}">
              <c16:uniqueId val="{00000000-41A7-4E79-A753-EDAB5FAAFA3A}"/>
            </c:ext>
          </c:extLst>
        </c:ser>
        <c:dLbls>
          <c:showLegendKey val="0"/>
          <c:showVal val="0"/>
          <c:showCatName val="0"/>
          <c:showSerName val="0"/>
          <c:showPercent val="0"/>
          <c:showBubbleSize val="0"/>
        </c:dLbls>
        <c:gapWidth val="115"/>
        <c:overlap val="-20"/>
        <c:axId val="602652144"/>
        <c:axId val="602646864"/>
      </c:barChart>
      <c:catAx>
        <c:axId val="60265214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2646864"/>
        <c:crosses val="autoZero"/>
        <c:auto val="1"/>
        <c:lblAlgn val="ctr"/>
        <c:lblOffset val="100"/>
        <c:noMultiLvlLbl val="0"/>
      </c:catAx>
      <c:valAx>
        <c:axId val="6026468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6026521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
        <c:idx val="10"/>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Dashboard!$J$3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2-B224-449B-A295-BE11B5C73D5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F05-4C4E-AF71-2BD9E97382C0}"/>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F05-4C4E-AF71-2BD9E97382C0}"/>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F05-4C4E-AF71-2BD9E97382C0}"/>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F05-4C4E-AF71-2BD9E97382C0}"/>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0F05-4C4E-AF71-2BD9E97382C0}"/>
              </c:ext>
            </c:extLst>
          </c:dPt>
          <c:dPt>
            <c:idx val="6"/>
            <c:bubble3D val="0"/>
            <c:spPr>
              <a:solidFill>
                <a:schemeClr val="accent1">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D-0F05-4C4E-AF71-2BD9E97382C0}"/>
              </c:ext>
            </c:extLst>
          </c:dPt>
          <c:dPt>
            <c:idx val="7"/>
            <c:bubble3D val="0"/>
            <c:spPr>
              <a:solidFill>
                <a:schemeClr val="accent2">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F-0F05-4C4E-AF71-2BD9E97382C0}"/>
              </c:ext>
            </c:extLst>
          </c:dPt>
          <c:dPt>
            <c:idx val="8"/>
            <c:bubble3D val="0"/>
            <c:spPr>
              <a:solidFill>
                <a:schemeClr val="accent3">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1-0F05-4C4E-AF71-2BD9E97382C0}"/>
              </c:ext>
            </c:extLst>
          </c:dPt>
          <c:dPt>
            <c:idx val="9"/>
            <c:bubble3D val="0"/>
            <c:spPr>
              <a:solidFill>
                <a:schemeClr val="accent4">
                  <a:lumMod val="60000"/>
                </a:schemeClr>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13-0F05-4C4E-AF71-2BD9E97382C0}"/>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Dashboard!$I$4:$I$14</c:f>
              <c:strCache>
                <c:ptCount val="10"/>
                <c:pt idx="0">
                  <c:v>Avi Rajput</c:v>
                </c:pt>
                <c:pt idx="1">
                  <c:v>Harshil Sharma</c:v>
                </c:pt>
                <c:pt idx="2">
                  <c:v>Kiron Chakroborty</c:v>
                </c:pt>
                <c:pt idx="3">
                  <c:v>Manav Sharma</c:v>
                </c:pt>
                <c:pt idx="4">
                  <c:v>Pradip Sarkar</c:v>
                </c:pt>
                <c:pt idx="5">
                  <c:v>Purnima Acharjee</c:v>
                </c:pt>
                <c:pt idx="6">
                  <c:v>Rishi Devrana</c:v>
                </c:pt>
                <c:pt idx="7">
                  <c:v>Sanat Majumdar</c:v>
                </c:pt>
                <c:pt idx="8">
                  <c:v>Sneha Sahdev</c:v>
                </c:pt>
                <c:pt idx="9">
                  <c:v>Yash Karakoti</c:v>
                </c:pt>
              </c:strCache>
            </c:strRef>
          </c:cat>
          <c:val>
            <c:numRef>
              <c:f>Dashboard!$J$4:$J$14</c:f>
              <c:numCache>
                <c:formatCode>0.00%</c:formatCode>
                <c:ptCount val="10"/>
                <c:pt idx="0">
                  <c:v>0.52200000000000002</c:v>
                </c:pt>
                <c:pt idx="1">
                  <c:v>0.57399999999999995</c:v>
                </c:pt>
                <c:pt idx="2">
                  <c:v>0.46800000000000003</c:v>
                </c:pt>
                <c:pt idx="3">
                  <c:v>0.64600000000000002</c:v>
                </c:pt>
                <c:pt idx="4">
                  <c:v>0.6</c:v>
                </c:pt>
                <c:pt idx="5">
                  <c:v>0.56200000000000006</c:v>
                </c:pt>
                <c:pt idx="6">
                  <c:v>0.59199999999999997</c:v>
                </c:pt>
                <c:pt idx="7">
                  <c:v>0.53200000000000003</c:v>
                </c:pt>
                <c:pt idx="8">
                  <c:v>0.57999999999999996</c:v>
                </c:pt>
                <c:pt idx="9">
                  <c:v>0.48599999999999999</c:v>
                </c:pt>
              </c:numCache>
            </c:numRef>
          </c:val>
          <c:extLst>
            <c:ext xmlns:c16="http://schemas.microsoft.com/office/drawing/2014/chart" uri="{C3380CC4-5D6E-409C-BE32-E72D297353CC}">
              <c16:uniqueId val="{00000000-B224-449B-A295-BE11B5C73D51}"/>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[Book1.xlsm]Dashboard!PivotTable4</c:name>
    <c:fmtId val="0"/>
  </c:pivotSource>
  <c:chart>
    <c:autoTitleDeleted val="1"/>
    <c:pivotFmts>
      <c:pivotFmt>
        <c:idx val="0"/>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0179571303587051E-2"/>
          <c:y val="5.0925925925925923E-2"/>
          <c:w val="0.93633705161854763"/>
          <c:h val="0.60517023913677459"/>
        </c:manualLayout>
      </c:layout>
      <c:lineChart>
        <c:grouping val="standard"/>
        <c:varyColors val="0"/>
        <c:ser>
          <c:idx val="0"/>
          <c:order val="0"/>
          <c:tx>
            <c:strRef>
              <c:f>Dashboard!$N$3</c:f>
              <c:strCache>
                <c:ptCount val="1"/>
                <c:pt idx="0">
                  <c:v>Total</c:v>
                </c:pt>
              </c:strCache>
            </c:strRef>
          </c:tx>
          <c:spPr>
            <a:ln w="22225" cap="rnd">
              <a:solidFill>
                <a:schemeClr val="accent1"/>
              </a:solidFill>
            </a:ln>
            <a:effectLst>
              <a:glow rad="139700">
                <a:schemeClr val="accent1">
                  <a:satMod val="175000"/>
                  <a:alpha val="14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Dashboard!$M$4:$M$14</c:f>
              <c:strCache>
                <c:ptCount val="10"/>
                <c:pt idx="0">
                  <c:v>Ansh Bhatt</c:v>
                </c:pt>
                <c:pt idx="1">
                  <c:v>Divyanshi Kharbanda</c:v>
                </c:pt>
                <c:pt idx="2">
                  <c:v>Gunika Tyagi</c:v>
                </c:pt>
                <c:pt idx="3">
                  <c:v>Ishaan Azam</c:v>
                </c:pt>
                <c:pt idx="4">
                  <c:v>Kartavya Chauhan</c:v>
                </c:pt>
                <c:pt idx="5">
                  <c:v>Maitreyi Mamgain</c:v>
                </c:pt>
                <c:pt idx="6">
                  <c:v>Narayan Bhardwaj</c:v>
                </c:pt>
                <c:pt idx="7">
                  <c:v>Riya Sharma</c:v>
                </c:pt>
                <c:pt idx="8">
                  <c:v>Sagnik Majumdar</c:v>
                </c:pt>
                <c:pt idx="9">
                  <c:v>Tanishq Chauhan</c:v>
                </c:pt>
              </c:strCache>
            </c:strRef>
          </c:cat>
          <c:val>
            <c:numRef>
              <c:f>Dashboard!$N$4:$N$14</c:f>
              <c:numCache>
                <c:formatCode>0.00%</c:formatCode>
                <c:ptCount val="10"/>
                <c:pt idx="0">
                  <c:v>0.67800000000000005</c:v>
                </c:pt>
                <c:pt idx="1">
                  <c:v>0.66800000000000004</c:v>
                </c:pt>
                <c:pt idx="2">
                  <c:v>0.64200000000000002</c:v>
                </c:pt>
                <c:pt idx="3">
                  <c:v>0.68600000000000005</c:v>
                </c:pt>
                <c:pt idx="4">
                  <c:v>0.76600000000000001</c:v>
                </c:pt>
                <c:pt idx="5">
                  <c:v>0.69599999999999995</c:v>
                </c:pt>
                <c:pt idx="6">
                  <c:v>0.84599999999999997</c:v>
                </c:pt>
                <c:pt idx="7">
                  <c:v>0.65200000000000002</c:v>
                </c:pt>
                <c:pt idx="8">
                  <c:v>0.71399999999999997</c:v>
                </c:pt>
                <c:pt idx="9">
                  <c:v>0.61199999999999999</c:v>
                </c:pt>
              </c:numCache>
            </c:numRef>
          </c:val>
          <c:smooth val="0"/>
          <c:extLst>
            <c:ext xmlns:c16="http://schemas.microsoft.com/office/drawing/2014/chart" uri="{C3380CC4-5D6E-409C-BE32-E72D297353CC}">
              <c16:uniqueId val="{00000000-7992-4E50-8C76-C16742354529}"/>
            </c:ext>
          </c:extLst>
        </c:ser>
        <c:dLbls>
          <c:showLegendKey val="0"/>
          <c:showVal val="0"/>
          <c:showCatName val="0"/>
          <c:showSerName val="0"/>
          <c:showPercent val="0"/>
          <c:showBubbleSize val="0"/>
        </c:dLbls>
        <c:marker val="1"/>
        <c:smooth val="0"/>
        <c:axId val="170456496"/>
        <c:axId val="170455536"/>
      </c:lineChart>
      <c:catAx>
        <c:axId val="17045649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70455536"/>
        <c:crosses val="autoZero"/>
        <c:auto val="1"/>
        <c:lblAlgn val="ctr"/>
        <c:lblOffset val="100"/>
        <c:noMultiLvlLbl val="0"/>
      </c:catAx>
      <c:valAx>
        <c:axId val="170455536"/>
        <c:scaling>
          <c:orientation val="minMax"/>
        </c:scaling>
        <c:delete val="1"/>
        <c:axPos val="l"/>
        <c:numFmt formatCode="0.00%" sourceLinked="1"/>
        <c:majorTickMark val="none"/>
        <c:minorTickMark val="none"/>
        <c:tickLblPos val="nextTo"/>
        <c:crossAx val="17045649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fmlaLink="$E$1" lockText="1" noThreeD="1"/>
</file>

<file path=xl/ctrlProps/ctrlProp3.xml><?xml version="1.0" encoding="utf-8"?>
<formControlPr xmlns="http://schemas.microsoft.com/office/spreadsheetml/2009/9/main" objectType="CheckBox" fmlaLink="$I$1" lockText="1" noThreeD="1"/>
</file>

<file path=xl/ctrlProps/ctrlProp4.xml><?xml version="1.0" encoding="utf-8"?>
<formControlPr xmlns="http://schemas.microsoft.com/office/spreadsheetml/2009/9/main" objectType="CheckBox" checked="Checked" fmlaLink="$M$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15</xdr:row>
      <xdr:rowOff>68580</xdr:rowOff>
    </xdr:from>
    <xdr:to>
      <xdr:col>4</xdr:col>
      <xdr:colOff>1249680</xdr:colOff>
      <xdr:row>30</xdr:row>
      <xdr:rowOff>68580</xdr:rowOff>
    </xdr:to>
    <xdr:graphicFrame macro="">
      <xdr:nvGraphicFramePr>
        <xdr:cNvPr id="2" name="Chart 1">
          <a:extLst>
            <a:ext uri="{FF2B5EF4-FFF2-40B4-BE49-F238E27FC236}">
              <a16:creationId xmlns:a16="http://schemas.microsoft.com/office/drawing/2014/main" id="{BED24364-1BF8-D802-6071-46BEE49651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434340</xdr:colOff>
      <xdr:row>15</xdr:row>
      <xdr:rowOff>76200</xdr:rowOff>
    </xdr:from>
    <xdr:to>
      <xdr:col>10</xdr:col>
      <xdr:colOff>472440</xdr:colOff>
      <xdr:row>30</xdr:row>
      <xdr:rowOff>76200</xdr:rowOff>
    </xdr:to>
    <xdr:graphicFrame macro="">
      <xdr:nvGraphicFramePr>
        <xdr:cNvPr id="3" name="Chart 2">
          <a:extLst>
            <a:ext uri="{FF2B5EF4-FFF2-40B4-BE49-F238E27FC236}">
              <a16:creationId xmlns:a16="http://schemas.microsoft.com/office/drawing/2014/main" id="{ADDA9879-92A5-BE8E-F95A-75E554A872D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152400</xdr:colOff>
      <xdr:row>15</xdr:row>
      <xdr:rowOff>76200</xdr:rowOff>
    </xdr:from>
    <xdr:to>
      <xdr:col>17</xdr:col>
      <xdr:colOff>228600</xdr:colOff>
      <xdr:row>30</xdr:row>
      <xdr:rowOff>76200</xdr:rowOff>
    </xdr:to>
    <xdr:graphicFrame macro="">
      <xdr:nvGraphicFramePr>
        <xdr:cNvPr id="4" name="Chart 3">
          <a:extLst>
            <a:ext uri="{FF2B5EF4-FFF2-40B4-BE49-F238E27FC236}">
              <a16:creationId xmlns:a16="http://schemas.microsoft.com/office/drawing/2014/main" id="{0A0181EA-AEDC-CCA3-3F1D-672CBE82E4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121920</xdr:colOff>
      <xdr:row>0</xdr:row>
      <xdr:rowOff>220981</xdr:rowOff>
    </xdr:from>
    <xdr:to>
      <xdr:col>15</xdr:col>
      <xdr:colOff>38100</xdr:colOff>
      <xdr:row>0</xdr:row>
      <xdr:rowOff>685800</xdr:rowOff>
    </xdr:to>
    <mc:AlternateContent xmlns:mc="http://schemas.openxmlformats.org/markup-compatibility/2006">
      <mc:Choice xmlns:a14="http://schemas.microsoft.com/office/drawing/2010/main" Requires="a14">
        <xdr:graphicFrame macro="">
          <xdr:nvGraphicFramePr>
            <xdr:cNvPr id="5" name="Region">
              <a:extLst>
                <a:ext uri="{FF2B5EF4-FFF2-40B4-BE49-F238E27FC236}">
                  <a16:creationId xmlns:a16="http://schemas.microsoft.com/office/drawing/2014/main" id="{29DA35EA-2848-05D0-15B9-3AF07B679F0E}"/>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121920" y="220981"/>
              <a:ext cx="13220700" cy="4648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144780</xdr:colOff>
      <xdr:row>1</xdr:row>
      <xdr:rowOff>68580</xdr:rowOff>
    </xdr:from>
    <xdr:to>
      <xdr:col>1</xdr:col>
      <xdr:colOff>358140</xdr:colOff>
      <xdr:row>1</xdr:row>
      <xdr:rowOff>571500</xdr:rowOff>
    </xdr:to>
    <xdr:sp macro="" textlink="">
      <xdr:nvSpPr>
        <xdr:cNvPr id="7" name="Speech Bubble: Rectangle 6">
          <a:extLst>
            <a:ext uri="{FF2B5EF4-FFF2-40B4-BE49-F238E27FC236}">
              <a16:creationId xmlns:a16="http://schemas.microsoft.com/office/drawing/2014/main" id="{58C47C75-0AB7-2E36-7391-6AA01D7D6502}"/>
            </a:ext>
          </a:extLst>
        </xdr:cNvPr>
        <xdr:cNvSpPr/>
      </xdr:nvSpPr>
      <xdr:spPr>
        <a:xfrm>
          <a:off x="144780" y="769620"/>
          <a:ext cx="1607820" cy="502920"/>
        </a:xfrm>
        <a:prstGeom prst="wedgeRect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396240</xdr:colOff>
          <xdr:row>1</xdr:row>
          <xdr:rowOff>152400</xdr:rowOff>
        </xdr:from>
        <xdr:to>
          <xdr:col>1</xdr:col>
          <xdr:colOff>274320</xdr:colOff>
          <xdr:row>1</xdr:row>
          <xdr:rowOff>480060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4</xdr:col>
      <xdr:colOff>99060</xdr:colOff>
      <xdr:row>1</xdr:row>
      <xdr:rowOff>68580</xdr:rowOff>
    </xdr:from>
    <xdr:to>
      <xdr:col>5</xdr:col>
      <xdr:colOff>403860</xdr:colOff>
      <xdr:row>1</xdr:row>
      <xdr:rowOff>617220</xdr:rowOff>
    </xdr:to>
    <xdr:sp macro="" textlink="">
      <xdr:nvSpPr>
        <xdr:cNvPr id="8" name="Speech Bubble: Rectangle 7">
          <a:extLst>
            <a:ext uri="{FF2B5EF4-FFF2-40B4-BE49-F238E27FC236}">
              <a16:creationId xmlns:a16="http://schemas.microsoft.com/office/drawing/2014/main" id="{A90B9ACE-1A67-4E4C-A34B-0846B4619B98}"/>
            </a:ext>
          </a:extLst>
        </xdr:cNvPr>
        <xdr:cNvSpPr/>
      </xdr:nvSpPr>
      <xdr:spPr>
        <a:xfrm>
          <a:off x="3421380" y="769620"/>
          <a:ext cx="1607820" cy="548640"/>
        </a:xfrm>
        <a:prstGeom prst="wedgeRect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4</xdr:col>
          <xdr:colOff>281940</xdr:colOff>
          <xdr:row>1</xdr:row>
          <xdr:rowOff>175260</xdr:rowOff>
        </xdr:from>
        <xdr:to>
          <xdr:col>5</xdr:col>
          <xdr:colOff>182880</xdr:colOff>
          <xdr:row>1</xdr:row>
          <xdr:rowOff>495300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8</xdr:col>
      <xdr:colOff>167640</xdr:colOff>
      <xdr:row>1</xdr:row>
      <xdr:rowOff>160020</xdr:rowOff>
    </xdr:from>
    <xdr:to>
      <xdr:col>9</xdr:col>
      <xdr:colOff>678180</xdr:colOff>
      <xdr:row>1</xdr:row>
      <xdr:rowOff>624840</xdr:rowOff>
    </xdr:to>
    <xdr:sp macro="" textlink="">
      <xdr:nvSpPr>
        <xdr:cNvPr id="9" name="Speech Bubble: Rectangle 8">
          <a:extLst>
            <a:ext uri="{FF2B5EF4-FFF2-40B4-BE49-F238E27FC236}">
              <a16:creationId xmlns:a16="http://schemas.microsoft.com/office/drawing/2014/main" id="{2D2732DB-B708-431A-9883-365081563DA1}"/>
            </a:ext>
          </a:extLst>
        </xdr:cNvPr>
        <xdr:cNvSpPr/>
      </xdr:nvSpPr>
      <xdr:spPr>
        <a:xfrm>
          <a:off x="6957060" y="861060"/>
          <a:ext cx="1607820" cy="464820"/>
        </a:xfrm>
        <a:prstGeom prst="wedgeRect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8</xdr:col>
          <xdr:colOff>350520</xdr:colOff>
          <xdr:row>1</xdr:row>
          <xdr:rowOff>182880</xdr:rowOff>
        </xdr:from>
        <xdr:to>
          <xdr:col>9</xdr:col>
          <xdr:colOff>457200</xdr:colOff>
          <xdr:row>1</xdr:row>
          <xdr:rowOff>502920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11</xdr:col>
      <xdr:colOff>548640</xdr:colOff>
      <xdr:row>1</xdr:row>
      <xdr:rowOff>106680</xdr:rowOff>
    </xdr:from>
    <xdr:to>
      <xdr:col>13</xdr:col>
      <xdr:colOff>312420</xdr:colOff>
      <xdr:row>1</xdr:row>
      <xdr:rowOff>640080</xdr:rowOff>
    </xdr:to>
    <xdr:sp macro="" textlink="">
      <xdr:nvSpPr>
        <xdr:cNvPr id="10" name="Speech Bubble: Rectangle 9">
          <a:extLst>
            <a:ext uri="{FF2B5EF4-FFF2-40B4-BE49-F238E27FC236}">
              <a16:creationId xmlns:a16="http://schemas.microsoft.com/office/drawing/2014/main" id="{7E9A5807-1DF2-4421-A934-323EAAC9E081}"/>
            </a:ext>
          </a:extLst>
        </xdr:cNvPr>
        <xdr:cNvSpPr/>
      </xdr:nvSpPr>
      <xdr:spPr>
        <a:xfrm>
          <a:off x="10317480" y="807720"/>
          <a:ext cx="1607820" cy="533400"/>
        </a:xfrm>
        <a:prstGeom prst="wedgeRectCallout">
          <a:avLst/>
        </a:prstGeom>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12</xdr:col>
          <xdr:colOff>121920</xdr:colOff>
          <xdr:row>1</xdr:row>
          <xdr:rowOff>198120</xdr:rowOff>
        </xdr:from>
        <xdr:to>
          <xdr:col>13</xdr:col>
          <xdr:colOff>91440</xdr:colOff>
          <xdr:row>1</xdr:row>
          <xdr:rowOff>518160</xdr:rowOff>
        </xdr:to>
        <xdr:sp macro="" textlink="">
          <xdr:nvSpPr>
            <xdr:cNvPr id="1029" name="Check Box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udipta Sarkar" refreshedDate="45709.741088425922" createdVersion="8" refreshedVersion="8" minRefreshableVersion="3" recordCount="30" xr:uid="{D04E71CB-7D72-45E3-BBC1-11D5DAC39DD4}">
  <cacheSource type="worksheet">
    <worksheetSource ref="A1:L31" sheet="Raw Data"/>
  </cacheSource>
  <cacheFields count="12">
    <cacheField name="Emp Code" numFmtId="0">
      <sharedItems/>
    </cacheField>
    <cacheField name="Sales Executive" numFmtId="0">
      <sharedItems count="30">
        <s v="Sudipta Sarkar"/>
        <s v="Ansh Bhatt"/>
        <s v="Yash Karakoti"/>
        <s v="Sneha Sahdev"/>
        <s v="Tanishq Chauhan"/>
        <s v="Rishi Devrana"/>
        <s v="Sachin Sharma"/>
        <s v="Narayan Bhardwaj"/>
        <s v="Maitreyi Mamgain"/>
        <s v="Avi Rajput"/>
        <s v="Harshil Sharma"/>
        <s v="Sagnik Majumdar"/>
        <s v="Nitu Acharya"/>
        <s v="Pradip Sarkar"/>
        <s v="Madhumita Sarkar"/>
        <s v="Ishaan Azam"/>
        <s v="Shirsh Raj"/>
        <s v="Manav Sharma"/>
        <s v="Daksh Baweja"/>
        <s v="Chhavi Tyagi"/>
        <s v="Riya Sharma"/>
        <s v="Sanat Majumdar"/>
        <s v="Shritama Banerjee"/>
        <s v="Kiron Chakroborty"/>
        <s v="Purnima Acharjee"/>
        <s v="Ranjit Acharya"/>
        <s v="Kartavya Chauhan"/>
        <s v="Gunika Tyagi"/>
        <s v="Divyanshi Kharbanda"/>
        <s v="Anshika Maggo"/>
      </sharedItems>
    </cacheField>
    <cacheField name="Region" numFmtId="0">
      <sharedItems count="6">
        <s v="Kolkata"/>
        <s v="Ghaziabad"/>
        <s v="Noida"/>
        <s v="Jaipur"/>
        <s v="Kanpur"/>
        <s v="Delhi"/>
      </sharedItems>
    </cacheField>
    <cacheField name="Day1" numFmtId="0">
      <sharedItems containsSemiMixedTypes="0" containsString="0" containsNumber="1" containsInteger="1" minValue="15"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0" maxValue="94"/>
    </cacheField>
    <cacheField name="Day5" numFmtId="0">
      <sharedItems containsSemiMixedTypes="0" containsString="0" containsNumber="1" containsInteger="1" minValue="12" maxValue="98"/>
    </cacheField>
    <cacheField name="Total Sales" numFmtId="0">
      <sharedItems containsSemiMixedTypes="0" containsString="0" containsNumber="1" containsInteger="1" minValue="177" maxValue="423"/>
    </cacheField>
    <cacheField name="Target" numFmtId="0">
      <sharedItems containsSemiMixedTypes="0" containsString="0" containsNumber="1" containsInteger="1" minValue="500" maxValue="500"/>
    </cacheField>
    <cacheField name="Target Hit %" numFmtId="10">
      <sharedItems containsSemiMixedTypes="0" containsString="0" containsNumber="1" minValue="0.35399999999999998" maxValue="0.84599999999999997" count="30">
        <n v="0.58199999999999996"/>
        <n v="0.67800000000000005"/>
        <n v="0.51400000000000001"/>
        <n v="0.42"/>
        <n v="0.61199999999999999"/>
        <n v="0.40799999999999997"/>
        <n v="0.53600000000000003"/>
        <n v="0.84599999999999997"/>
        <n v="0.69599999999999995"/>
        <n v="0.47799999999999998"/>
        <n v="0.42599999999999999"/>
        <n v="0.71399999999999997"/>
        <n v="0.56799999999999995"/>
        <n v="0.4"/>
        <n v="0.53400000000000003"/>
        <n v="0.68600000000000005"/>
        <n v="0.54600000000000004"/>
        <n v="0.35399999999999998"/>
        <n v="0.56599999999999995"/>
        <n v="0.58799999999999997"/>
        <n v="0.65200000000000002"/>
        <n v="0.46800000000000003"/>
        <n v="0.53800000000000003"/>
        <n v="0.53200000000000003"/>
        <n v="0.438"/>
        <n v="0.55000000000000004"/>
        <n v="0.76600000000000001"/>
        <n v="0.64200000000000002"/>
        <n v="0.66800000000000004"/>
        <n v="0.59599999999999997"/>
      </sharedItems>
    </cacheField>
    <cacheField name="Away from Target %" numFmtId="10">
      <sharedItems containsSemiMixedTypes="0" containsString="0" containsNumber="1" minValue="0.154" maxValue="0.64600000000000002"/>
    </cacheField>
  </cacheFields>
  <extLst>
    <ext xmlns:x14="http://schemas.microsoft.com/office/spreadsheetml/2009/9/main" uri="{725AE2AE-9491-48be-B2B4-4EB974FC3084}">
      <x14:pivotCacheDefinition pivotCacheId="106072520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
  <r>
    <s v="TCL001"/>
    <x v="0"/>
    <x v="0"/>
    <n v="26"/>
    <n v="58"/>
    <n v="74"/>
    <n v="69"/>
    <n v="64"/>
    <n v="291"/>
    <n v="500"/>
    <x v="0"/>
    <n v="0.41799999999999998"/>
  </r>
  <r>
    <s v="TCL002"/>
    <x v="1"/>
    <x v="0"/>
    <n v="84"/>
    <n v="97"/>
    <n v="24"/>
    <n v="68"/>
    <n v="66"/>
    <n v="339"/>
    <n v="500"/>
    <x v="1"/>
    <n v="0.32200000000000001"/>
  </r>
  <r>
    <s v="TCL003"/>
    <x v="2"/>
    <x v="1"/>
    <n v="46"/>
    <n v="60"/>
    <n v="39"/>
    <n v="43"/>
    <n v="69"/>
    <n v="257"/>
    <n v="500"/>
    <x v="2"/>
    <n v="0.48599999999999999"/>
  </r>
  <r>
    <s v="TCL004"/>
    <x v="3"/>
    <x v="2"/>
    <n v="64"/>
    <n v="22"/>
    <n v="85"/>
    <n v="15"/>
    <n v="24"/>
    <n v="210"/>
    <n v="500"/>
    <x v="3"/>
    <n v="0.57999999999999996"/>
  </r>
  <r>
    <s v="TCL005"/>
    <x v="4"/>
    <x v="3"/>
    <n v="15"/>
    <n v="86"/>
    <n v="92"/>
    <n v="66"/>
    <n v="47"/>
    <n v="306"/>
    <n v="500"/>
    <x v="4"/>
    <n v="0.38800000000000001"/>
  </r>
  <r>
    <s v="TCL006"/>
    <x v="5"/>
    <x v="3"/>
    <n v="65"/>
    <n v="53"/>
    <n v="25"/>
    <n v="30"/>
    <n v="31"/>
    <n v="204"/>
    <n v="500"/>
    <x v="5"/>
    <n v="0.59199999999999997"/>
  </r>
  <r>
    <s v="TCL007"/>
    <x v="6"/>
    <x v="4"/>
    <n v="100"/>
    <n v="23"/>
    <n v="43"/>
    <n v="72"/>
    <n v="30"/>
    <n v="268"/>
    <n v="500"/>
    <x v="6"/>
    <n v="0.46400000000000002"/>
  </r>
  <r>
    <s v="TCL008"/>
    <x v="7"/>
    <x v="2"/>
    <n v="76"/>
    <n v="79"/>
    <n v="97"/>
    <n v="93"/>
    <n v="78"/>
    <n v="423"/>
    <n v="500"/>
    <x v="7"/>
    <n v="0.154"/>
  </r>
  <r>
    <s v="TCL009"/>
    <x v="8"/>
    <x v="5"/>
    <n v="94"/>
    <n v="43"/>
    <n v="81"/>
    <n v="71"/>
    <n v="59"/>
    <n v="348"/>
    <n v="500"/>
    <x v="8"/>
    <n v="0.30399999999999999"/>
  </r>
  <r>
    <s v="TCL010"/>
    <x v="9"/>
    <x v="5"/>
    <n v="51"/>
    <n v="89"/>
    <n v="17"/>
    <n v="32"/>
    <n v="50"/>
    <n v="239"/>
    <n v="500"/>
    <x v="9"/>
    <n v="0.52200000000000002"/>
  </r>
  <r>
    <s v="TCL011"/>
    <x v="10"/>
    <x v="4"/>
    <n v="15"/>
    <n v="52"/>
    <n v="33"/>
    <n v="42"/>
    <n v="71"/>
    <n v="213"/>
    <n v="500"/>
    <x v="10"/>
    <n v="0.57399999999999995"/>
  </r>
  <r>
    <s v="TCL012"/>
    <x v="11"/>
    <x v="0"/>
    <n v="52"/>
    <n v="98"/>
    <n v="88"/>
    <n v="57"/>
    <n v="62"/>
    <n v="357"/>
    <n v="500"/>
    <x v="11"/>
    <n v="0.28599999999999998"/>
  </r>
  <r>
    <s v="TCL013"/>
    <x v="12"/>
    <x v="5"/>
    <n v="15"/>
    <n v="67"/>
    <n v="99"/>
    <n v="89"/>
    <n v="14"/>
    <n v="284"/>
    <n v="500"/>
    <x v="12"/>
    <n v="0.432"/>
  </r>
  <r>
    <s v="TCL014"/>
    <x v="13"/>
    <x v="5"/>
    <n v="78"/>
    <n v="10"/>
    <n v="12"/>
    <n v="16"/>
    <n v="84"/>
    <n v="200"/>
    <n v="500"/>
    <x v="13"/>
    <n v="0.6"/>
  </r>
  <r>
    <s v="TCL015"/>
    <x v="14"/>
    <x v="0"/>
    <n v="34"/>
    <n v="72"/>
    <n v="10"/>
    <n v="58"/>
    <n v="93"/>
    <n v="267"/>
    <n v="500"/>
    <x v="14"/>
    <n v="0.46600000000000003"/>
  </r>
  <r>
    <s v="TCL016"/>
    <x v="15"/>
    <x v="4"/>
    <n v="59"/>
    <n v="55"/>
    <n v="79"/>
    <n v="73"/>
    <n v="77"/>
    <n v="343"/>
    <n v="500"/>
    <x v="15"/>
    <n v="0.314"/>
  </r>
  <r>
    <s v="TCL017"/>
    <x v="16"/>
    <x v="1"/>
    <n v="73"/>
    <n v="65"/>
    <n v="62"/>
    <n v="10"/>
    <n v="63"/>
    <n v="273"/>
    <n v="500"/>
    <x v="16"/>
    <n v="0.45400000000000001"/>
  </r>
  <r>
    <s v="TCL018"/>
    <x v="17"/>
    <x v="3"/>
    <n v="44"/>
    <n v="37"/>
    <n v="20"/>
    <n v="32"/>
    <n v="44"/>
    <n v="177"/>
    <n v="500"/>
    <x v="17"/>
    <n v="0.64600000000000002"/>
  </r>
  <r>
    <s v="TCL019"/>
    <x v="18"/>
    <x v="1"/>
    <n v="52"/>
    <n v="36"/>
    <n v="60"/>
    <n v="37"/>
    <n v="98"/>
    <n v="283"/>
    <n v="500"/>
    <x v="18"/>
    <n v="0.434"/>
  </r>
  <r>
    <s v="TCL020"/>
    <x v="19"/>
    <x v="1"/>
    <n v="92"/>
    <n v="17"/>
    <n v="39"/>
    <n v="94"/>
    <n v="52"/>
    <n v="294"/>
    <n v="500"/>
    <x v="19"/>
    <n v="0.41199999999999998"/>
  </r>
  <r>
    <s v="TCL021"/>
    <x v="20"/>
    <x v="2"/>
    <n v="75"/>
    <n v="68"/>
    <n v="90"/>
    <n v="51"/>
    <n v="42"/>
    <n v="326"/>
    <n v="500"/>
    <x v="20"/>
    <n v="0.34799999999999998"/>
  </r>
  <r>
    <s v="TCL022"/>
    <x v="21"/>
    <x v="2"/>
    <n v="95"/>
    <n v="29"/>
    <n v="34"/>
    <n v="22"/>
    <n v="54"/>
    <n v="234"/>
    <n v="500"/>
    <x v="21"/>
    <n v="0.53200000000000003"/>
  </r>
  <r>
    <s v="TCL023"/>
    <x v="22"/>
    <x v="5"/>
    <n v="39"/>
    <n v="58"/>
    <n v="49"/>
    <n v="53"/>
    <n v="70"/>
    <n v="269"/>
    <n v="500"/>
    <x v="22"/>
    <n v="0.46200000000000002"/>
  </r>
  <r>
    <s v="TCL024"/>
    <x v="23"/>
    <x v="0"/>
    <n v="38"/>
    <n v="92"/>
    <n v="31"/>
    <n v="16"/>
    <n v="89"/>
    <n v="266"/>
    <n v="500"/>
    <x v="23"/>
    <n v="0.46800000000000003"/>
  </r>
  <r>
    <s v="TCL025"/>
    <x v="24"/>
    <x v="0"/>
    <n v="18"/>
    <n v="47"/>
    <n v="73"/>
    <n v="69"/>
    <n v="12"/>
    <n v="219"/>
    <n v="500"/>
    <x v="24"/>
    <n v="0.56200000000000006"/>
  </r>
  <r>
    <s v="TCL026"/>
    <x v="25"/>
    <x v="4"/>
    <n v="69"/>
    <n v="100"/>
    <n v="46"/>
    <n v="30"/>
    <n v="30"/>
    <n v="275"/>
    <n v="500"/>
    <x v="25"/>
    <n v="0.45"/>
  </r>
  <r>
    <s v="TCL027"/>
    <x v="26"/>
    <x v="2"/>
    <n v="82"/>
    <n v="99"/>
    <n v="91"/>
    <n v="71"/>
    <n v="40"/>
    <n v="383"/>
    <n v="500"/>
    <x v="26"/>
    <n v="0.23400000000000001"/>
  </r>
  <r>
    <s v="TCL028"/>
    <x v="27"/>
    <x v="5"/>
    <n v="93"/>
    <n v="56"/>
    <n v="67"/>
    <n v="59"/>
    <n v="46"/>
    <n v="321"/>
    <n v="500"/>
    <x v="27"/>
    <n v="0.35799999999999998"/>
  </r>
  <r>
    <s v="TCL029"/>
    <x v="28"/>
    <x v="0"/>
    <n v="93"/>
    <n v="70"/>
    <n v="11"/>
    <n v="71"/>
    <n v="89"/>
    <n v="334"/>
    <n v="500"/>
    <x v="28"/>
    <n v="0.33200000000000002"/>
  </r>
  <r>
    <s v="TCL030"/>
    <x v="29"/>
    <x v="5"/>
    <n v="78"/>
    <n v="21"/>
    <n v="29"/>
    <n v="82"/>
    <n v="88"/>
    <n v="298"/>
    <n v="500"/>
    <x v="29"/>
    <n v="0.404000000000000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8B582B8-B6EE-4CA0-BF01-7F89CCEC8365}"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rowHeaderCaption="Sales Executive">
  <location ref="I3:J14" firstHeaderRow="1" firstDataRow="1" firstDataCol="1"/>
  <pivotFields count="12">
    <pivotField showAll="0"/>
    <pivotField axis="axisRow" showAll="0" measureFilter="1">
      <items count="31">
        <item x="1"/>
        <item x="29"/>
        <item x="9"/>
        <item x="19"/>
        <item x="18"/>
        <item x="28"/>
        <item x="27"/>
        <item x="10"/>
        <item x="15"/>
        <item x="26"/>
        <item x="23"/>
        <item x="14"/>
        <item x="8"/>
        <item x="17"/>
        <item x="7"/>
        <item x="12"/>
        <item x="13"/>
        <item x="24"/>
        <item x="25"/>
        <item x="5"/>
        <item x="20"/>
        <item x="6"/>
        <item x="11"/>
        <item x="21"/>
        <item x="16"/>
        <item x="22"/>
        <item x="3"/>
        <item x="0"/>
        <item x="4"/>
        <item x="2"/>
        <item t="default"/>
      </items>
    </pivotField>
    <pivotField showAll="0">
      <items count="7">
        <item h="1" x="5"/>
        <item h="1" x="1"/>
        <item h="1" x="3"/>
        <item x="4"/>
        <item h="1" x="0"/>
        <item h="1" x="2"/>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11">
    <i>
      <x v="2"/>
    </i>
    <i>
      <x v="7"/>
    </i>
    <i>
      <x v="10"/>
    </i>
    <i>
      <x v="13"/>
    </i>
    <i>
      <x v="16"/>
    </i>
    <i>
      <x v="17"/>
    </i>
    <i>
      <x v="19"/>
    </i>
    <i>
      <x v="23"/>
    </i>
    <i>
      <x v="26"/>
    </i>
    <i>
      <x v="29"/>
    </i>
    <i t="grand">
      <x/>
    </i>
  </rowItems>
  <colItems count="1">
    <i/>
  </colItems>
  <dataFields count="1">
    <dataField name="Away from Target % " fld="11" baseField="1" baseItem="2" numFmtId="10"/>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2"/>
          </reference>
        </references>
      </pivotArea>
    </chartFormat>
    <chartFormat chart="0" format="2">
      <pivotArea type="data" outline="0" fieldPosition="0">
        <references count="2">
          <reference field="4294967294" count="1" selected="0">
            <x v="0"/>
          </reference>
          <reference field="1" count="1" selected="0">
            <x v="7"/>
          </reference>
        </references>
      </pivotArea>
    </chartFormat>
    <chartFormat chart="0" format="3">
      <pivotArea type="data" outline="0" fieldPosition="0">
        <references count="2">
          <reference field="4294967294" count="1" selected="0">
            <x v="0"/>
          </reference>
          <reference field="1" count="1" selected="0">
            <x v="10"/>
          </reference>
        </references>
      </pivotArea>
    </chartFormat>
    <chartFormat chart="0" format="4">
      <pivotArea type="data" outline="0" fieldPosition="0">
        <references count="2">
          <reference field="4294967294" count="1" selected="0">
            <x v="0"/>
          </reference>
          <reference field="1" count="1" selected="0">
            <x v="13"/>
          </reference>
        </references>
      </pivotArea>
    </chartFormat>
    <chartFormat chart="0" format="5">
      <pivotArea type="data" outline="0" fieldPosition="0">
        <references count="2">
          <reference field="4294967294" count="1" selected="0">
            <x v="0"/>
          </reference>
          <reference field="1" count="1" selected="0">
            <x v="16"/>
          </reference>
        </references>
      </pivotArea>
    </chartFormat>
    <chartFormat chart="0" format="6">
      <pivotArea type="data" outline="0" fieldPosition="0">
        <references count="2">
          <reference field="4294967294" count="1" selected="0">
            <x v="0"/>
          </reference>
          <reference field="1" count="1" selected="0">
            <x v="17"/>
          </reference>
        </references>
      </pivotArea>
    </chartFormat>
    <chartFormat chart="0" format="7">
      <pivotArea type="data" outline="0" fieldPosition="0">
        <references count="2">
          <reference field="4294967294" count="1" selected="0">
            <x v="0"/>
          </reference>
          <reference field="1" count="1" selected="0">
            <x v="19"/>
          </reference>
        </references>
      </pivotArea>
    </chartFormat>
    <chartFormat chart="0" format="8">
      <pivotArea type="data" outline="0" fieldPosition="0">
        <references count="2">
          <reference field="4294967294" count="1" selected="0">
            <x v="0"/>
          </reference>
          <reference field="1" count="1" selected="0">
            <x v="23"/>
          </reference>
        </references>
      </pivotArea>
    </chartFormat>
    <chartFormat chart="0" format="9">
      <pivotArea type="data" outline="0" fieldPosition="0">
        <references count="2">
          <reference field="4294967294" count="1" selected="0">
            <x v="0"/>
          </reference>
          <reference field="1" count="1" selected="0">
            <x v="26"/>
          </reference>
        </references>
      </pivotArea>
    </chartFormat>
    <chartFormat chart="0" format="10">
      <pivotArea type="data" outline="0" fieldPosition="0">
        <references count="2">
          <reference field="4294967294" count="1" selected="0">
            <x v="0"/>
          </reference>
          <reference field="1" count="1" selected="0">
            <x v="29"/>
          </reference>
        </references>
      </pivotArea>
    </chartFormat>
  </chartFormats>
  <pivotTableStyleInfo name="PivotStyleLight16" showRowHeaders="1" showColHeaders="1" showRowStripes="0" showColStripes="0" showLastColumn="1"/>
  <filters count="1">
    <filter fld="1" type="count" evalOrder="-1" id="3"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7A17B26-BAFD-4AAD-A4D3-C5026405A4C7}" name="PivotTable2" cacheId="1" applyNumberFormats="0" applyBorderFormats="0" applyFontFormats="0" applyPatternFormats="0" applyAlignmentFormats="0" applyWidthHeightFormats="1" dataCaption="Values" updatedVersion="8" minRefreshableVersion="3" itemPrintTitles="1" createdVersion="8" indent="0" outline="1" outlineData="1" multipleFieldFilters="0" rowHeaderCaption="Sales Executive">
  <location ref="E3:F14" firstHeaderRow="1" firstDataRow="1" firstDataCol="1"/>
  <pivotFields count="12">
    <pivotField showAll="0"/>
    <pivotField axis="axisRow" showAll="0" measureFilter="1">
      <items count="31">
        <item x="1"/>
        <item x="29"/>
        <item x="9"/>
        <item x="19"/>
        <item x="18"/>
        <item x="28"/>
        <item x="27"/>
        <item x="10"/>
        <item x="15"/>
        <item x="26"/>
        <item x="23"/>
        <item x="14"/>
        <item x="8"/>
        <item x="17"/>
        <item x="7"/>
        <item x="12"/>
        <item x="13"/>
        <item x="24"/>
        <item x="25"/>
        <item x="5"/>
        <item x="20"/>
        <item x="6"/>
        <item x="11"/>
        <item x="21"/>
        <item x="16"/>
        <item x="22"/>
        <item x="3"/>
        <item x="0"/>
        <item x="4"/>
        <item x="2"/>
        <item t="default"/>
      </items>
    </pivotField>
    <pivotField showAll="0">
      <items count="7">
        <item h="1" x="5"/>
        <item h="1" x="1"/>
        <item h="1" x="3"/>
        <item x="4"/>
        <item h="1" x="0"/>
        <item h="1" x="2"/>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v="2"/>
    </i>
    <i>
      <x v="7"/>
    </i>
    <i>
      <x v="10"/>
    </i>
    <i>
      <x v="13"/>
    </i>
    <i>
      <x v="16"/>
    </i>
    <i>
      <x v="17"/>
    </i>
    <i>
      <x v="19"/>
    </i>
    <i>
      <x v="23"/>
    </i>
    <i>
      <x v="26"/>
    </i>
    <i>
      <x v="29"/>
    </i>
    <i t="grand">
      <x/>
    </i>
  </rowItems>
  <colItems count="1">
    <i/>
  </colItems>
  <dataFields count="1">
    <dataField name="Total Sales " fld="8" baseField="1" baseItem="0"/>
  </dataFields>
  <pivotTableStyleInfo name="PivotStyleLight16" showRowHeaders="1" showColHeaders="1" showRowStripes="0" showColStripes="0" showLastColumn="1"/>
  <filters count="1">
    <filter fld="1" type="count" evalOrder="-1" id="3" iMeasureFld="0">
      <autoFilter ref="A1">
        <filterColumn colId="0">
          <top10 top="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A1A7DE6-67B0-4C71-82B3-34ADB912C93F}" name="PivotTable1"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3" rowHeaderCaption="Sales Executive">
  <location ref="A3:B14" firstHeaderRow="1" firstDataRow="1" firstDataCol="1"/>
  <pivotFields count="12">
    <pivotField showAll="0"/>
    <pivotField axis="axisRow" showAll="0" measureFilter="1">
      <items count="31">
        <item x="1"/>
        <item x="29"/>
        <item x="9"/>
        <item x="19"/>
        <item x="18"/>
        <item x="28"/>
        <item x="27"/>
        <item x="10"/>
        <item x="15"/>
        <item x="26"/>
        <item x="23"/>
        <item x="14"/>
        <item x="8"/>
        <item x="17"/>
        <item x="7"/>
        <item x="12"/>
        <item x="13"/>
        <item x="24"/>
        <item x="25"/>
        <item x="5"/>
        <item x="20"/>
        <item x="6"/>
        <item x="11"/>
        <item x="21"/>
        <item x="16"/>
        <item x="22"/>
        <item x="3"/>
        <item x="0"/>
        <item x="4"/>
        <item x="2"/>
        <item t="default"/>
      </items>
    </pivotField>
    <pivotField showAll="0">
      <items count="7">
        <item x="5"/>
        <item h="1" x="1"/>
        <item h="1" x="3"/>
        <item h="1" x="4"/>
        <item h="1" x="0"/>
        <item h="1" x="2"/>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11">
    <i>
      <x/>
    </i>
    <i>
      <x v="5"/>
    </i>
    <i>
      <x v="6"/>
    </i>
    <i>
      <x v="8"/>
    </i>
    <i>
      <x v="9"/>
    </i>
    <i>
      <x v="12"/>
    </i>
    <i>
      <x v="14"/>
    </i>
    <i>
      <x v="20"/>
    </i>
    <i>
      <x v="22"/>
    </i>
    <i>
      <x v="28"/>
    </i>
    <i t="grand">
      <x/>
    </i>
  </rowItems>
  <colItems count="1">
    <i/>
  </colItems>
  <dataFields count="1">
    <dataField name="Total Sales " fld="8" baseField="1"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C265E2A-1822-4CB6-A18F-D038B13EA311}"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M3:N14" firstHeaderRow="1" firstDataRow="1" firstDataCol="1"/>
  <pivotFields count="12">
    <pivotField showAll="0"/>
    <pivotField axis="axisRow" showAll="0" measureFilter="1">
      <items count="31">
        <item x="1"/>
        <item x="29"/>
        <item x="9"/>
        <item x="19"/>
        <item x="18"/>
        <item x="28"/>
        <item x="27"/>
        <item x="10"/>
        <item x="15"/>
        <item x="26"/>
        <item x="23"/>
        <item x="14"/>
        <item x="8"/>
        <item x="17"/>
        <item x="7"/>
        <item x="12"/>
        <item x="13"/>
        <item x="24"/>
        <item x="25"/>
        <item x="5"/>
        <item x="20"/>
        <item x="6"/>
        <item x="11"/>
        <item x="21"/>
        <item x="16"/>
        <item x="22"/>
        <item x="3"/>
        <item x="0"/>
        <item x="4"/>
        <item x="2"/>
        <item t="default"/>
      </items>
    </pivotField>
    <pivotField showAll="0">
      <items count="7">
        <item h="1" x="5"/>
        <item h="1" x="1"/>
        <item h="1" x="3"/>
        <item x="4"/>
        <item h="1" x="0"/>
        <item h="1" x="2"/>
        <item t="default"/>
      </items>
    </pivotField>
    <pivotField showAll="0"/>
    <pivotField showAll="0"/>
    <pivotField showAll="0"/>
    <pivotField showAll="0"/>
    <pivotField showAll="0"/>
    <pivotField showAll="0"/>
    <pivotField showAll="0"/>
    <pivotField dataField="1" numFmtId="10" showAll="0">
      <items count="31">
        <item x="17"/>
        <item x="13"/>
        <item x="5"/>
        <item x="3"/>
        <item x="10"/>
        <item x="24"/>
        <item x="21"/>
        <item x="9"/>
        <item x="2"/>
        <item x="23"/>
        <item x="14"/>
        <item x="6"/>
        <item x="22"/>
        <item x="16"/>
        <item x="25"/>
        <item x="18"/>
        <item x="12"/>
        <item x="0"/>
        <item x="19"/>
        <item x="29"/>
        <item x="4"/>
        <item x="27"/>
        <item x="20"/>
        <item x="28"/>
        <item x="1"/>
        <item x="15"/>
        <item x="8"/>
        <item x="11"/>
        <item x="26"/>
        <item x="7"/>
        <item t="default"/>
      </items>
    </pivotField>
    <pivotField numFmtId="10" showAll="0"/>
  </pivotFields>
  <rowFields count="1">
    <field x="1"/>
  </rowFields>
  <rowItems count="11">
    <i>
      <x/>
    </i>
    <i>
      <x v="5"/>
    </i>
    <i>
      <x v="6"/>
    </i>
    <i>
      <x v="8"/>
    </i>
    <i>
      <x v="9"/>
    </i>
    <i>
      <x v="12"/>
    </i>
    <i>
      <x v="14"/>
    </i>
    <i>
      <x v="20"/>
    </i>
    <i>
      <x v="22"/>
    </i>
    <i>
      <x v="28"/>
    </i>
    <i t="grand">
      <x/>
    </i>
  </rowItems>
  <colItems count="1">
    <i/>
  </colItems>
  <dataFields count="1">
    <dataField name="Sum of Target Hit %" fld="10" baseField="0"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Light17" showRowHeaders="1" showColHeaders="1" showRowStripes="0" showColStripes="0" showLastColumn="1"/>
  <filters count="1">
    <filter fld="1"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860CCA46-2961-48C0-B60A-8E980DE14671}" sourceName="Region">
  <data>
    <tabular pivotCacheId="1060725203">
      <items count="6">
        <i x="5" s="1"/>
        <i x="1"/>
        <i x="3"/>
        <i x="4"/>
        <i x="0"/>
        <i x="2"/>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4906D0DD-29B5-4E6F-BB29-7D752B166304}" cache="Slicer_Region" caption="Region" columnCount="6" showCaption="0" style="SlicerStyleDark4"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0A34CD-A6F0-43F8-93D6-47D7C16CE19A}">
  <sheetPr codeName="Sheet1"/>
  <dimension ref="A1:AB33"/>
  <sheetViews>
    <sheetView showGridLines="0" showRowColHeaders="0" tabSelected="1" workbookViewId="0">
      <selection activeCell="H2" sqref="H2"/>
    </sheetView>
  </sheetViews>
  <sheetFormatPr defaultRowHeight="14.4" x14ac:dyDescent="0.3"/>
  <cols>
    <col min="1" max="1" width="20.33203125" customWidth="1"/>
    <col min="2" max="2" width="10.33203125" bestFit="1" customWidth="1"/>
    <col min="5" max="5" width="19" customWidth="1"/>
    <col min="6" max="6" width="13.77734375" customWidth="1"/>
    <col min="9" max="9" width="16" bestFit="1" customWidth="1"/>
    <col min="10" max="10" width="18.5546875" bestFit="1" customWidth="1"/>
    <col min="13" max="13" width="18" bestFit="1" customWidth="1"/>
    <col min="14" max="14" width="17.6640625" bestFit="1" customWidth="1"/>
    <col min="15" max="43" width="7" bestFit="1" customWidth="1"/>
    <col min="44" max="44" width="10.77734375" bestFit="1" customWidth="1"/>
  </cols>
  <sheetData>
    <row r="1" spans="1:23" ht="55.2" customHeight="1" x14ac:dyDescent="0.3">
      <c r="A1" s="5" t="b">
        <v>1</v>
      </c>
      <c r="B1" s="5"/>
      <c r="C1" s="5"/>
      <c r="D1" s="5"/>
      <c r="E1" s="5" t="b">
        <v>0</v>
      </c>
      <c r="F1" s="5"/>
      <c r="G1" s="5"/>
      <c r="H1" s="5"/>
      <c r="I1" s="5" t="b">
        <v>0</v>
      </c>
      <c r="J1" s="5"/>
      <c r="K1" s="5"/>
      <c r="L1" s="5"/>
      <c r="M1" s="5" t="b">
        <v>1</v>
      </c>
      <c r="N1" s="5"/>
      <c r="O1" s="5"/>
      <c r="P1" s="5"/>
      <c r="Q1" s="5"/>
      <c r="R1" s="5"/>
      <c r="S1" s="5"/>
      <c r="T1" s="5"/>
      <c r="U1" s="5"/>
      <c r="V1" s="5"/>
      <c r="W1" s="5"/>
    </row>
    <row r="2" spans="1:23" ht="57.6" customHeight="1" x14ac:dyDescent="0.3">
      <c r="A2" s="5"/>
      <c r="B2" s="5"/>
      <c r="C2" s="5"/>
      <c r="D2" s="5"/>
      <c r="E2" s="5"/>
      <c r="F2" s="5"/>
      <c r="G2" s="5"/>
      <c r="H2" s="5"/>
      <c r="I2" s="5"/>
      <c r="J2" s="5"/>
      <c r="K2" s="5"/>
      <c r="L2" s="5"/>
      <c r="M2" s="5"/>
      <c r="N2" s="5"/>
      <c r="O2" s="5"/>
      <c r="P2" s="5"/>
      <c r="Q2" s="5"/>
      <c r="R2" s="5"/>
      <c r="S2" s="5"/>
      <c r="T2" s="5"/>
      <c r="U2" s="5"/>
      <c r="V2" s="5"/>
      <c r="W2" s="5"/>
    </row>
    <row r="3" spans="1:23" x14ac:dyDescent="0.3">
      <c r="A3" s="2" t="s">
        <v>1</v>
      </c>
      <c r="B3" t="s">
        <v>80</v>
      </c>
      <c r="C3" s="5"/>
      <c r="D3" s="5"/>
      <c r="E3" s="2" t="s">
        <v>1</v>
      </c>
      <c r="F3" t="s">
        <v>80</v>
      </c>
      <c r="G3" s="5"/>
      <c r="H3" s="5"/>
      <c r="I3" s="2" t="s">
        <v>1</v>
      </c>
      <c r="J3" t="s">
        <v>82</v>
      </c>
      <c r="K3" s="5"/>
      <c r="L3" s="5"/>
      <c r="M3" s="2" t="s">
        <v>78</v>
      </c>
      <c r="N3" t="s">
        <v>81</v>
      </c>
      <c r="O3" s="5"/>
      <c r="P3" s="5"/>
      <c r="Q3" s="5"/>
      <c r="R3" s="5"/>
      <c r="S3" s="5"/>
      <c r="T3" s="5"/>
      <c r="U3" s="5"/>
      <c r="V3" s="5"/>
      <c r="W3" s="5"/>
    </row>
    <row r="4" spans="1:23" x14ac:dyDescent="0.3">
      <c r="A4" s="3" t="s">
        <v>40</v>
      </c>
      <c r="B4" s="6">
        <v>339</v>
      </c>
      <c r="C4" s="5"/>
      <c r="D4" s="5"/>
      <c r="E4" s="3" t="s">
        <v>48</v>
      </c>
      <c r="F4">
        <v>239</v>
      </c>
      <c r="G4" s="5"/>
      <c r="H4" s="5"/>
      <c r="I4" s="3" t="s">
        <v>48</v>
      </c>
      <c r="J4" s="4">
        <v>0.52200000000000002</v>
      </c>
      <c r="K4" s="5"/>
      <c r="L4" s="5"/>
      <c r="M4" s="3" t="s">
        <v>40</v>
      </c>
      <c r="N4" s="4">
        <v>0.67800000000000005</v>
      </c>
      <c r="O4" s="5"/>
      <c r="P4" s="5"/>
      <c r="Q4" s="5"/>
      <c r="R4" s="5"/>
      <c r="S4" s="5"/>
      <c r="T4" s="5"/>
      <c r="U4" s="5"/>
      <c r="V4" s="5"/>
      <c r="W4" s="5"/>
    </row>
    <row r="5" spans="1:23" x14ac:dyDescent="0.3">
      <c r="A5" s="3" t="s">
        <v>67</v>
      </c>
      <c r="B5" s="6">
        <v>334</v>
      </c>
      <c r="C5" s="5"/>
      <c r="D5" s="5"/>
      <c r="E5" s="3" t="s">
        <v>49</v>
      </c>
      <c r="F5">
        <v>213</v>
      </c>
      <c r="G5" s="5"/>
      <c r="H5" s="5"/>
      <c r="I5" s="3" t="s">
        <v>49</v>
      </c>
      <c r="J5" s="4">
        <v>0.57399999999999995</v>
      </c>
      <c r="K5" s="5"/>
      <c r="L5" s="5"/>
      <c r="M5" s="3" t="s">
        <v>67</v>
      </c>
      <c r="N5" s="4">
        <v>0.66800000000000004</v>
      </c>
      <c r="O5" s="5"/>
      <c r="P5" s="5"/>
      <c r="Q5" s="5"/>
      <c r="R5" s="5"/>
      <c r="S5" s="5"/>
      <c r="T5" s="5"/>
      <c r="U5" s="5"/>
      <c r="V5" s="5"/>
      <c r="W5" s="5"/>
    </row>
    <row r="6" spans="1:23" x14ac:dyDescent="0.3">
      <c r="A6" s="3" t="s">
        <v>66</v>
      </c>
      <c r="B6" s="6">
        <v>321</v>
      </c>
      <c r="C6" s="5"/>
      <c r="D6" s="5"/>
      <c r="E6" s="3" t="s">
        <v>62</v>
      </c>
      <c r="F6">
        <v>266</v>
      </c>
      <c r="G6" s="5"/>
      <c r="H6" s="5"/>
      <c r="I6" s="3" t="s">
        <v>62</v>
      </c>
      <c r="J6" s="4">
        <v>0.46800000000000003</v>
      </c>
      <c r="K6" s="5"/>
      <c r="L6" s="5"/>
      <c r="M6" s="3" t="s">
        <v>66</v>
      </c>
      <c r="N6" s="4">
        <v>0.64200000000000002</v>
      </c>
      <c r="O6" s="5"/>
      <c r="P6" s="5"/>
      <c r="Q6" s="5"/>
      <c r="R6" s="5"/>
      <c r="S6" s="5"/>
      <c r="T6" s="5"/>
      <c r="U6" s="5"/>
      <c r="V6" s="5"/>
      <c r="W6" s="5"/>
    </row>
    <row r="7" spans="1:23" x14ac:dyDescent="0.3">
      <c r="A7" s="3" t="s">
        <v>54</v>
      </c>
      <c r="B7" s="6">
        <v>343</v>
      </c>
      <c r="C7" s="5"/>
      <c r="D7" s="5"/>
      <c r="E7" s="3" t="s">
        <v>56</v>
      </c>
      <c r="F7">
        <v>177</v>
      </c>
      <c r="G7" s="5"/>
      <c r="H7" s="5"/>
      <c r="I7" s="3" t="s">
        <v>56</v>
      </c>
      <c r="J7" s="4">
        <v>0.64600000000000002</v>
      </c>
      <c r="K7" s="5"/>
      <c r="L7" s="5"/>
      <c r="M7" s="3" t="s">
        <v>54</v>
      </c>
      <c r="N7" s="4">
        <v>0.68600000000000005</v>
      </c>
      <c r="O7" s="5"/>
      <c r="P7" s="5"/>
      <c r="Q7" s="5"/>
      <c r="R7" s="5"/>
      <c r="S7" s="5"/>
      <c r="T7" s="5"/>
      <c r="U7" s="5"/>
      <c r="V7" s="5"/>
      <c r="W7" s="5"/>
    </row>
    <row r="8" spans="1:23" x14ac:dyDescent="0.3">
      <c r="A8" s="3" t="s">
        <v>65</v>
      </c>
      <c r="B8" s="6">
        <v>383</v>
      </c>
      <c r="C8" s="5"/>
      <c r="D8" s="5"/>
      <c r="E8" s="3" t="s">
        <v>52</v>
      </c>
      <c r="F8">
        <v>200</v>
      </c>
      <c r="G8" s="5"/>
      <c r="H8" s="5"/>
      <c r="I8" s="3" t="s">
        <v>52</v>
      </c>
      <c r="J8" s="4">
        <v>0.6</v>
      </c>
      <c r="K8" s="5"/>
      <c r="L8" s="5"/>
      <c r="M8" s="3" t="s">
        <v>65</v>
      </c>
      <c r="N8" s="4">
        <v>0.76600000000000001</v>
      </c>
      <c r="O8" s="5"/>
      <c r="P8" s="5"/>
      <c r="Q8" s="5"/>
      <c r="R8" s="5"/>
      <c r="S8" s="5"/>
      <c r="T8" s="5"/>
      <c r="U8" s="5"/>
      <c r="V8" s="5"/>
      <c r="W8" s="5"/>
    </row>
    <row r="9" spans="1:23" x14ac:dyDescent="0.3">
      <c r="A9" s="3" t="s">
        <v>47</v>
      </c>
      <c r="B9" s="6">
        <v>348</v>
      </c>
      <c r="C9" s="5"/>
      <c r="D9" s="5"/>
      <c r="E9" s="3" t="s">
        <v>63</v>
      </c>
      <c r="F9">
        <v>219</v>
      </c>
      <c r="G9" s="5"/>
      <c r="H9" s="5"/>
      <c r="I9" s="3" t="s">
        <v>63</v>
      </c>
      <c r="J9" s="4">
        <v>0.56200000000000006</v>
      </c>
      <c r="K9" s="5"/>
      <c r="L9" s="5"/>
      <c r="M9" s="3" t="s">
        <v>47</v>
      </c>
      <c r="N9" s="4">
        <v>0.69599999999999995</v>
      </c>
      <c r="O9" s="5"/>
      <c r="P9" s="5"/>
      <c r="Q9" s="5"/>
      <c r="R9" s="5"/>
      <c r="S9" s="5"/>
      <c r="T9" s="5"/>
      <c r="U9" s="5"/>
      <c r="V9" s="5"/>
      <c r="W9" s="5"/>
    </row>
    <row r="10" spans="1:23" x14ac:dyDescent="0.3">
      <c r="A10" s="3" t="s">
        <v>46</v>
      </c>
      <c r="B10" s="6">
        <v>423</v>
      </c>
      <c r="C10" s="5"/>
      <c r="D10" s="5"/>
      <c r="E10" s="3" t="s">
        <v>44</v>
      </c>
      <c r="F10">
        <v>204</v>
      </c>
      <c r="G10" s="5"/>
      <c r="H10" s="5"/>
      <c r="I10" s="3" t="s">
        <v>44</v>
      </c>
      <c r="J10" s="4">
        <v>0.59199999999999997</v>
      </c>
      <c r="K10" s="5"/>
      <c r="L10" s="5"/>
      <c r="M10" s="3" t="s">
        <v>46</v>
      </c>
      <c r="N10" s="4">
        <v>0.84599999999999997</v>
      </c>
      <c r="O10" s="5"/>
      <c r="P10" s="5"/>
      <c r="Q10" s="5"/>
      <c r="R10" s="5"/>
      <c r="S10" s="5"/>
      <c r="T10" s="5"/>
      <c r="U10" s="5"/>
      <c r="V10" s="5"/>
      <c r="W10" s="5"/>
    </row>
    <row r="11" spans="1:23" x14ac:dyDescent="0.3">
      <c r="A11" s="3" t="s">
        <v>59</v>
      </c>
      <c r="B11" s="6">
        <v>326</v>
      </c>
      <c r="C11" s="5"/>
      <c r="D11" s="5"/>
      <c r="E11" s="3" t="s">
        <v>60</v>
      </c>
      <c r="F11">
        <v>234</v>
      </c>
      <c r="G11" s="5"/>
      <c r="H11" s="5"/>
      <c r="I11" s="3" t="s">
        <v>60</v>
      </c>
      <c r="J11" s="4">
        <v>0.53200000000000003</v>
      </c>
      <c r="K11" s="5"/>
      <c r="L11" s="5"/>
      <c r="M11" s="3" t="s">
        <v>59</v>
      </c>
      <c r="N11" s="4">
        <v>0.65200000000000002</v>
      </c>
      <c r="O11" s="5"/>
      <c r="P11" s="5"/>
      <c r="Q11" s="5"/>
      <c r="R11" s="5"/>
      <c r="S11" s="5"/>
      <c r="T11" s="5"/>
      <c r="U11" s="5"/>
      <c r="V11" s="5"/>
      <c r="W11" s="5"/>
    </row>
    <row r="12" spans="1:23" x14ac:dyDescent="0.3">
      <c r="A12" s="3" t="s">
        <v>50</v>
      </c>
      <c r="B12" s="6">
        <v>357</v>
      </c>
      <c r="C12" s="5"/>
      <c r="D12" s="5"/>
      <c r="E12" s="3" t="s">
        <v>42</v>
      </c>
      <c r="F12">
        <v>210</v>
      </c>
      <c r="G12" s="5"/>
      <c r="H12" s="5"/>
      <c r="I12" s="3" t="s">
        <v>42</v>
      </c>
      <c r="J12" s="4">
        <v>0.57999999999999996</v>
      </c>
      <c r="K12" s="5"/>
      <c r="L12" s="5"/>
      <c r="M12" s="3" t="s">
        <v>50</v>
      </c>
      <c r="N12" s="4">
        <v>0.71399999999999997</v>
      </c>
      <c r="O12" s="5"/>
      <c r="P12" s="5"/>
      <c r="Q12" s="5"/>
      <c r="R12" s="5"/>
      <c r="S12" s="5"/>
      <c r="T12" s="5"/>
      <c r="U12" s="5"/>
      <c r="V12" s="5"/>
      <c r="W12" s="5"/>
    </row>
    <row r="13" spans="1:23" x14ac:dyDescent="0.3">
      <c r="A13" s="3" t="s">
        <v>43</v>
      </c>
      <c r="B13" s="6">
        <v>306</v>
      </c>
      <c r="C13" s="5"/>
      <c r="D13" s="5"/>
      <c r="E13" s="3" t="s">
        <v>41</v>
      </c>
      <c r="F13">
        <v>257</v>
      </c>
      <c r="G13" s="5"/>
      <c r="H13" s="5"/>
      <c r="I13" s="3" t="s">
        <v>41</v>
      </c>
      <c r="J13" s="4">
        <v>0.48599999999999999</v>
      </c>
      <c r="K13" s="5"/>
      <c r="L13" s="5"/>
      <c r="M13" s="3" t="s">
        <v>43</v>
      </c>
      <c r="N13" s="4">
        <v>0.61199999999999999</v>
      </c>
      <c r="O13" s="5"/>
      <c r="P13" s="5"/>
      <c r="Q13" s="5"/>
      <c r="R13" s="5"/>
      <c r="S13" s="5"/>
      <c r="T13" s="5"/>
      <c r="U13" s="5"/>
      <c r="V13" s="5"/>
      <c r="W13" s="5"/>
    </row>
    <row r="14" spans="1:23" x14ac:dyDescent="0.3">
      <c r="A14" s="3" t="s">
        <v>79</v>
      </c>
      <c r="B14" s="6">
        <v>3480</v>
      </c>
      <c r="C14" s="5"/>
      <c r="D14" s="5"/>
      <c r="E14" s="3" t="s">
        <v>79</v>
      </c>
      <c r="F14">
        <v>2219</v>
      </c>
      <c r="G14" s="5"/>
      <c r="H14" s="5"/>
      <c r="I14" s="3" t="s">
        <v>79</v>
      </c>
      <c r="J14" s="4">
        <v>5.5620000000000003</v>
      </c>
      <c r="K14" s="5"/>
      <c r="L14" s="5"/>
      <c r="M14" s="3" t="s">
        <v>79</v>
      </c>
      <c r="N14" s="4">
        <v>6.9600000000000009</v>
      </c>
      <c r="O14" s="5"/>
      <c r="P14" s="5"/>
      <c r="Q14" s="5"/>
      <c r="R14" s="5"/>
      <c r="S14" s="5"/>
      <c r="T14" s="5"/>
      <c r="U14" s="5"/>
      <c r="V14" s="5"/>
      <c r="W14" s="5"/>
    </row>
    <row r="15" spans="1:23" x14ac:dyDescent="0.3">
      <c r="C15" s="5"/>
      <c r="D15" s="5"/>
      <c r="E15" s="5"/>
      <c r="F15" s="5"/>
      <c r="G15" s="5"/>
      <c r="H15" s="5"/>
      <c r="I15" s="5"/>
      <c r="J15" s="5"/>
      <c r="K15" s="5"/>
      <c r="L15" s="5"/>
      <c r="M15" s="5"/>
      <c r="N15" s="5"/>
      <c r="O15" s="5"/>
      <c r="P15" s="5"/>
      <c r="Q15" s="5"/>
      <c r="R15" s="5"/>
      <c r="S15" s="5"/>
      <c r="T15" s="5"/>
      <c r="U15" s="5"/>
      <c r="V15" s="5"/>
      <c r="W15" s="5"/>
    </row>
    <row r="16" spans="1:23" x14ac:dyDescent="0.3">
      <c r="C16" s="5"/>
      <c r="D16" s="5"/>
      <c r="E16" s="5"/>
      <c r="F16" s="5"/>
      <c r="G16" s="5"/>
      <c r="H16" s="5"/>
      <c r="I16" s="5"/>
      <c r="J16" s="5"/>
      <c r="K16" s="5"/>
      <c r="L16" s="5"/>
      <c r="M16" s="5"/>
      <c r="N16" s="5"/>
      <c r="O16" s="5"/>
      <c r="P16" s="5"/>
      <c r="Q16" s="5"/>
      <c r="R16" s="5"/>
      <c r="S16" s="5"/>
      <c r="T16" s="5"/>
      <c r="U16" s="5"/>
      <c r="V16" s="5"/>
      <c r="W16" s="5"/>
    </row>
    <row r="17" spans="1:28" x14ac:dyDescent="0.3">
      <c r="C17" s="5"/>
      <c r="D17" s="5"/>
      <c r="E17" s="5"/>
      <c r="F17" s="5"/>
      <c r="G17" s="5"/>
      <c r="H17" s="5"/>
      <c r="I17" s="5"/>
      <c r="J17" s="5"/>
      <c r="K17" s="5"/>
      <c r="L17" s="5"/>
      <c r="M17" s="5"/>
      <c r="N17" s="5"/>
      <c r="O17" s="5"/>
      <c r="P17" s="5"/>
      <c r="Q17" s="5"/>
      <c r="R17" s="5"/>
      <c r="S17" s="5"/>
      <c r="T17" s="5"/>
      <c r="U17" s="5"/>
      <c r="V17" s="5"/>
      <c r="W17" s="5"/>
      <c r="X17" s="5"/>
      <c r="Y17" s="5"/>
      <c r="Z17" s="5"/>
      <c r="AA17" s="5"/>
      <c r="AB17" s="5"/>
    </row>
    <row r="18" spans="1:28" x14ac:dyDescent="0.3">
      <c r="C18" s="5"/>
      <c r="D18" s="5"/>
      <c r="E18" s="5"/>
      <c r="F18" s="5"/>
      <c r="G18" s="5"/>
      <c r="H18" s="5"/>
      <c r="I18" s="5"/>
      <c r="J18" s="5"/>
      <c r="K18" s="5"/>
      <c r="L18" s="5"/>
      <c r="M18" s="5"/>
      <c r="N18" s="5"/>
      <c r="O18" s="5"/>
      <c r="P18" s="5"/>
      <c r="Q18" s="5"/>
      <c r="R18" s="5"/>
      <c r="S18" s="5"/>
      <c r="T18" s="5"/>
      <c r="U18" s="5"/>
      <c r="V18" s="5"/>
      <c r="W18" s="5"/>
      <c r="X18" s="5"/>
      <c r="Y18" s="5"/>
      <c r="Z18" s="5"/>
      <c r="AA18" s="5"/>
      <c r="AB18" s="5"/>
    </row>
    <row r="19" spans="1:28" x14ac:dyDescent="0.3">
      <c r="A19" s="5"/>
      <c r="B19" s="5"/>
      <c r="C19" s="5"/>
      <c r="D19" s="5"/>
      <c r="E19" s="5"/>
      <c r="F19" s="5"/>
      <c r="G19" s="5"/>
      <c r="H19" s="5"/>
      <c r="I19" s="5"/>
      <c r="J19" s="5"/>
      <c r="K19" s="5"/>
      <c r="L19" s="5"/>
      <c r="M19" s="5"/>
      <c r="N19" s="5"/>
      <c r="O19" s="5"/>
      <c r="P19" s="5"/>
      <c r="Q19" s="5"/>
      <c r="R19" s="5"/>
      <c r="S19" s="5"/>
      <c r="T19" s="5"/>
      <c r="U19" s="5"/>
      <c r="V19" s="5"/>
      <c r="W19" s="5"/>
      <c r="X19" s="5"/>
      <c r="Y19" s="5"/>
      <c r="Z19" s="5"/>
      <c r="AA19" s="5"/>
      <c r="AB19" s="5"/>
    </row>
    <row r="20" spans="1:28" x14ac:dyDescent="0.3">
      <c r="A20" s="5"/>
      <c r="B20" s="5"/>
      <c r="C20" s="5"/>
      <c r="D20" s="5"/>
      <c r="E20" s="5"/>
      <c r="F20" s="5"/>
      <c r="G20" s="5"/>
      <c r="H20" s="5"/>
      <c r="I20" s="5"/>
      <c r="J20" s="5"/>
      <c r="K20" s="5"/>
      <c r="L20" s="5"/>
      <c r="M20" s="5"/>
      <c r="N20" s="5"/>
      <c r="O20" s="5"/>
      <c r="P20" s="5"/>
      <c r="Q20" s="5"/>
      <c r="R20" s="5"/>
      <c r="S20" s="5"/>
      <c r="T20" s="5"/>
      <c r="U20" s="5"/>
      <c r="V20" s="5"/>
      <c r="W20" s="5"/>
      <c r="X20" s="5"/>
      <c r="Y20" s="5"/>
      <c r="Z20" s="5"/>
      <c r="AA20" s="5"/>
      <c r="AB20" s="5"/>
    </row>
    <row r="21" spans="1:28" x14ac:dyDescent="0.3">
      <c r="A21" s="5"/>
      <c r="B21" s="5"/>
      <c r="C21" s="5"/>
      <c r="D21" s="5"/>
      <c r="E21" s="5"/>
      <c r="F21" s="5"/>
      <c r="G21" s="5"/>
      <c r="H21" s="5"/>
      <c r="I21" s="5"/>
      <c r="J21" s="5"/>
      <c r="K21" s="5"/>
      <c r="L21" s="5"/>
      <c r="M21" s="5"/>
      <c r="N21" s="5"/>
      <c r="O21" s="5"/>
      <c r="P21" s="5"/>
      <c r="Q21" s="5"/>
      <c r="R21" s="5"/>
      <c r="S21" s="5"/>
      <c r="T21" s="5"/>
      <c r="U21" s="5"/>
      <c r="V21" s="5"/>
      <c r="W21" s="5"/>
      <c r="X21" s="5"/>
      <c r="Y21" s="5"/>
      <c r="Z21" s="5"/>
      <c r="AA21" s="5"/>
      <c r="AB21" s="5"/>
    </row>
    <row r="22" spans="1:28" x14ac:dyDescent="0.3">
      <c r="A22" s="5"/>
      <c r="B22" s="5"/>
      <c r="C22" s="5"/>
      <c r="D22" s="5"/>
      <c r="E22" s="5"/>
      <c r="F22" s="5"/>
      <c r="G22" s="5"/>
      <c r="H22" s="5"/>
      <c r="I22" s="5"/>
      <c r="J22" s="5"/>
      <c r="K22" s="5"/>
      <c r="L22" s="5"/>
      <c r="M22" s="5"/>
      <c r="N22" s="5"/>
      <c r="O22" s="5"/>
      <c r="P22" s="5"/>
      <c r="Q22" s="5"/>
      <c r="R22" s="5"/>
      <c r="S22" s="5"/>
      <c r="T22" s="5"/>
      <c r="U22" s="5"/>
      <c r="V22" s="5"/>
      <c r="W22" s="5"/>
      <c r="X22" s="5"/>
      <c r="Y22" s="5"/>
      <c r="Z22" s="5"/>
      <c r="AA22" s="5"/>
      <c r="AB22" s="5"/>
    </row>
    <row r="23" spans="1:28" x14ac:dyDescent="0.3">
      <c r="A23" s="5"/>
      <c r="B23" s="5"/>
      <c r="C23" s="5"/>
      <c r="D23" s="5"/>
      <c r="E23" s="5"/>
      <c r="F23" s="5"/>
      <c r="G23" s="5"/>
      <c r="H23" s="5"/>
      <c r="I23" s="5"/>
      <c r="J23" s="5"/>
      <c r="K23" s="5"/>
      <c r="L23" s="5"/>
      <c r="M23" s="5"/>
      <c r="N23" s="5"/>
      <c r="O23" s="5"/>
      <c r="P23" s="5"/>
      <c r="Q23" s="5"/>
      <c r="R23" s="5"/>
      <c r="S23" s="5"/>
      <c r="T23" s="5"/>
      <c r="U23" s="5"/>
      <c r="V23" s="5"/>
      <c r="W23" s="5"/>
      <c r="X23" s="5"/>
      <c r="Y23" s="5"/>
      <c r="Z23" s="5"/>
      <c r="AA23" s="5"/>
      <c r="AB23" s="5"/>
    </row>
    <row r="24" spans="1:28" x14ac:dyDescent="0.3">
      <c r="A24" s="5"/>
      <c r="B24" s="5"/>
      <c r="C24" s="5"/>
      <c r="D24" s="5"/>
      <c r="E24" s="5"/>
      <c r="F24" s="5"/>
      <c r="G24" s="5"/>
      <c r="H24" s="5"/>
      <c r="I24" s="5"/>
      <c r="J24" s="5"/>
      <c r="K24" s="5"/>
      <c r="L24" s="5"/>
      <c r="M24" s="5"/>
      <c r="N24" s="5"/>
      <c r="O24" s="5"/>
      <c r="P24" s="5"/>
      <c r="Q24" s="5"/>
      <c r="R24" s="5"/>
      <c r="S24" s="5"/>
      <c r="T24" s="5"/>
      <c r="U24" s="5"/>
      <c r="V24" s="5"/>
      <c r="W24" s="5"/>
      <c r="X24" s="5"/>
      <c r="Y24" s="5"/>
      <c r="Z24" s="5"/>
      <c r="AA24" s="5"/>
      <c r="AB24" s="5"/>
    </row>
    <row r="25" spans="1:28" x14ac:dyDescent="0.3">
      <c r="A25" s="5"/>
      <c r="B25" s="5"/>
      <c r="C25" s="5"/>
      <c r="D25" s="5"/>
      <c r="E25" s="5"/>
      <c r="F25" s="5"/>
      <c r="G25" s="5"/>
      <c r="H25" s="5"/>
      <c r="I25" s="5"/>
      <c r="J25" s="5"/>
      <c r="K25" s="5"/>
      <c r="L25" s="5"/>
      <c r="M25" s="5"/>
      <c r="N25" s="5"/>
      <c r="O25" s="5"/>
      <c r="P25" s="5"/>
      <c r="Q25" s="5"/>
      <c r="R25" s="5"/>
      <c r="S25" s="5"/>
      <c r="T25" s="5"/>
      <c r="U25" s="5"/>
      <c r="V25" s="5"/>
      <c r="W25" s="5"/>
      <c r="X25" s="5"/>
      <c r="Y25" s="5"/>
      <c r="Z25" s="5"/>
      <c r="AA25" s="5"/>
      <c r="AB25" s="5"/>
    </row>
    <row r="26" spans="1:28" x14ac:dyDescent="0.3">
      <c r="A26" s="5"/>
      <c r="B26" s="5"/>
      <c r="C26" s="5"/>
      <c r="D26" s="5"/>
      <c r="E26" s="5"/>
      <c r="F26" s="5"/>
      <c r="G26" s="5"/>
      <c r="H26" s="5"/>
      <c r="I26" s="5"/>
      <c r="J26" s="5"/>
      <c r="K26" s="5"/>
      <c r="L26" s="5"/>
      <c r="M26" s="5"/>
      <c r="N26" s="5"/>
      <c r="O26" s="5"/>
      <c r="P26" s="5"/>
      <c r="Q26" s="5"/>
      <c r="R26" s="5"/>
      <c r="S26" s="5"/>
      <c r="T26" s="5"/>
      <c r="U26" s="5"/>
      <c r="V26" s="5"/>
      <c r="W26" s="5"/>
      <c r="X26" s="5"/>
      <c r="Y26" s="5"/>
      <c r="Z26" s="5"/>
      <c r="AA26" s="5"/>
      <c r="AB26" s="5"/>
    </row>
    <row r="27" spans="1:28" x14ac:dyDescent="0.3">
      <c r="A27" s="5"/>
      <c r="B27" s="5"/>
      <c r="C27" s="5"/>
      <c r="D27" s="5"/>
      <c r="E27" s="5"/>
      <c r="F27" s="5"/>
      <c r="G27" s="5"/>
      <c r="H27" s="5"/>
      <c r="I27" s="5"/>
      <c r="J27" s="5"/>
      <c r="K27" s="5"/>
      <c r="L27" s="5"/>
      <c r="M27" s="5"/>
      <c r="N27" s="5"/>
      <c r="O27" s="5"/>
      <c r="P27" s="5"/>
      <c r="Q27" s="5"/>
      <c r="R27" s="5"/>
      <c r="S27" s="5"/>
      <c r="T27" s="5"/>
      <c r="U27" s="5"/>
      <c r="V27" s="5"/>
      <c r="W27" s="5"/>
      <c r="X27" s="5"/>
      <c r="Y27" s="5"/>
      <c r="Z27" s="5"/>
      <c r="AA27" s="5"/>
      <c r="AB27" s="5"/>
    </row>
    <row r="28" spans="1:28" x14ac:dyDescent="0.3">
      <c r="A28" s="5"/>
      <c r="B28" s="5"/>
      <c r="C28" s="5"/>
      <c r="D28" s="5"/>
      <c r="E28" s="5"/>
      <c r="F28" s="5"/>
      <c r="G28" s="5"/>
      <c r="H28" s="5"/>
      <c r="I28" s="5"/>
      <c r="J28" s="5"/>
      <c r="K28" s="5"/>
      <c r="L28" s="5"/>
      <c r="M28" s="5"/>
      <c r="N28" s="5"/>
      <c r="O28" s="5"/>
      <c r="P28" s="5"/>
      <c r="Q28" s="5"/>
      <c r="R28" s="5"/>
      <c r="S28" s="5"/>
      <c r="T28" s="5"/>
      <c r="U28" s="5"/>
      <c r="V28" s="5"/>
      <c r="W28" s="5"/>
      <c r="X28" s="5"/>
      <c r="Y28" s="5"/>
      <c r="Z28" s="5"/>
      <c r="AA28" s="5"/>
      <c r="AB28" s="5"/>
    </row>
    <row r="29" spans="1:28" x14ac:dyDescent="0.3">
      <c r="A29" s="5"/>
      <c r="B29" s="5"/>
      <c r="C29" s="5"/>
      <c r="D29" s="5"/>
      <c r="E29" s="5"/>
      <c r="F29" s="5"/>
      <c r="G29" s="5"/>
      <c r="H29" s="5"/>
      <c r="I29" s="5"/>
      <c r="J29" s="5"/>
      <c r="K29" s="5"/>
      <c r="L29" s="5"/>
      <c r="M29" s="5"/>
      <c r="N29" s="5"/>
      <c r="O29" s="5"/>
      <c r="P29" s="5"/>
      <c r="Q29" s="5"/>
      <c r="R29" s="5"/>
      <c r="S29" s="5"/>
      <c r="T29" s="5"/>
      <c r="U29" s="5"/>
      <c r="V29" s="5"/>
      <c r="W29" s="5"/>
      <c r="X29" s="5"/>
      <c r="Y29" s="5"/>
      <c r="Z29" s="5"/>
      <c r="AA29" s="5"/>
      <c r="AB29" s="5"/>
    </row>
    <row r="30" spans="1:28" x14ac:dyDescent="0.3">
      <c r="A30" s="5"/>
      <c r="B30" s="5"/>
      <c r="C30" s="5"/>
      <c r="D30" s="5"/>
      <c r="E30" s="5"/>
      <c r="F30" s="5"/>
      <c r="G30" s="5"/>
      <c r="H30" s="5"/>
      <c r="I30" s="5"/>
      <c r="J30" s="5"/>
      <c r="K30" s="5"/>
      <c r="L30" s="5"/>
      <c r="M30" s="5"/>
      <c r="N30" s="5"/>
      <c r="O30" s="5"/>
      <c r="P30" s="5"/>
      <c r="Q30" s="5"/>
      <c r="R30" s="5"/>
      <c r="S30" s="5"/>
      <c r="T30" s="5"/>
      <c r="U30" s="5"/>
      <c r="V30" s="5"/>
      <c r="W30" s="5"/>
      <c r="X30" s="5"/>
      <c r="Y30" s="5"/>
      <c r="Z30" s="5"/>
      <c r="AA30" s="5"/>
      <c r="AB30" s="5"/>
    </row>
    <row r="31" spans="1:28" x14ac:dyDescent="0.3">
      <c r="A31" s="5"/>
      <c r="B31" s="5"/>
      <c r="C31" s="5"/>
      <c r="D31" s="5"/>
      <c r="E31" s="5"/>
      <c r="F31" s="5"/>
      <c r="G31" s="5"/>
      <c r="H31" s="5"/>
      <c r="I31" s="5"/>
      <c r="J31" s="5"/>
      <c r="K31" s="5"/>
      <c r="L31" s="5"/>
      <c r="M31" s="5"/>
      <c r="N31" s="5"/>
      <c r="O31" s="5"/>
      <c r="P31" s="5"/>
      <c r="Q31" s="5"/>
      <c r="R31" s="5"/>
      <c r="S31" s="5"/>
      <c r="T31" s="5"/>
      <c r="U31" s="5"/>
      <c r="V31" s="5"/>
      <c r="W31" s="5"/>
      <c r="X31" s="5"/>
      <c r="Y31" s="5"/>
      <c r="Z31" s="5"/>
      <c r="AA31" s="5"/>
      <c r="AB31" s="5"/>
    </row>
    <row r="32" spans="1:28" x14ac:dyDescent="0.3">
      <c r="A32" s="5"/>
      <c r="B32" s="5"/>
      <c r="C32" s="5"/>
      <c r="D32" s="5"/>
      <c r="E32" s="5"/>
      <c r="F32" s="5"/>
      <c r="G32" s="5"/>
      <c r="H32" s="5"/>
      <c r="I32" s="5"/>
      <c r="J32" s="5"/>
      <c r="K32" s="5"/>
      <c r="L32" s="5"/>
      <c r="M32" s="5"/>
      <c r="N32" s="5"/>
      <c r="O32" s="5"/>
      <c r="P32" s="5"/>
      <c r="Q32" s="5"/>
      <c r="R32" s="5"/>
      <c r="S32" s="5"/>
      <c r="T32" s="5"/>
      <c r="U32" s="5"/>
      <c r="V32" s="5"/>
      <c r="W32" s="5"/>
      <c r="X32" s="5"/>
      <c r="Y32" s="5"/>
      <c r="Z32" s="5"/>
      <c r="AA32" s="5"/>
      <c r="AB32" s="5"/>
    </row>
    <row r="33" spans="1:28" x14ac:dyDescent="0.3">
      <c r="A33" s="5"/>
      <c r="B33" s="5"/>
      <c r="C33" s="5"/>
      <c r="D33" s="5"/>
      <c r="E33" s="5"/>
      <c r="F33" s="5"/>
      <c r="G33" s="5"/>
      <c r="H33" s="5"/>
      <c r="I33" s="5"/>
      <c r="J33" s="5"/>
      <c r="K33" s="5"/>
      <c r="L33" s="5"/>
      <c r="M33" s="5"/>
      <c r="N33" s="5"/>
      <c r="O33" s="5"/>
      <c r="P33" s="5"/>
      <c r="Q33" s="5"/>
      <c r="R33" s="5"/>
      <c r="S33" s="5"/>
      <c r="T33" s="5"/>
      <c r="U33" s="5"/>
      <c r="V33" s="5"/>
      <c r="W33" s="5"/>
      <c r="X33" s="5"/>
      <c r="Y33" s="5"/>
      <c r="Z33" s="5"/>
      <c r="AA33" s="5"/>
      <c r="AB33" s="5"/>
    </row>
  </sheetData>
  <pageMargins left="0.7" right="0.7" top="0.75" bottom="0.75" header="0.3" footer="0.3"/>
  <pageSetup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6" r:id="rId8" name="Check Box 2">
              <controlPr defaultSize="0" autoFill="0" autoLine="0" autoPict="0" macro="[0]!SlicerConnection">
                <anchor moveWithCells="1">
                  <from>
                    <xdr:col>0</xdr:col>
                    <xdr:colOff>396240</xdr:colOff>
                    <xdr:row>1</xdr:row>
                    <xdr:rowOff>152400</xdr:rowOff>
                  </from>
                  <to>
                    <xdr:col>1</xdr:col>
                    <xdr:colOff>274320</xdr:colOff>
                    <xdr:row>1</xdr:row>
                    <xdr:rowOff>480060</xdr:rowOff>
                  </to>
                </anchor>
              </controlPr>
            </control>
          </mc:Choice>
        </mc:AlternateContent>
        <mc:AlternateContent xmlns:mc="http://schemas.openxmlformats.org/markup-compatibility/2006">
          <mc:Choice Requires="x14">
            <control shapeId="1027" r:id="rId9" name="Check Box 3">
              <controlPr defaultSize="0" autoFill="0" autoLine="0" autoPict="0">
                <anchor moveWithCells="1">
                  <from>
                    <xdr:col>4</xdr:col>
                    <xdr:colOff>281940</xdr:colOff>
                    <xdr:row>1</xdr:row>
                    <xdr:rowOff>175260</xdr:rowOff>
                  </from>
                  <to>
                    <xdr:col>5</xdr:col>
                    <xdr:colOff>182880</xdr:colOff>
                    <xdr:row>1</xdr:row>
                    <xdr:rowOff>495300</xdr:rowOff>
                  </to>
                </anchor>
              </controlPr>
            </control>
          </mc:Choice>
        </mc:AlternateContent>
        <mc:AlternateContent xmlns:mc="http://schemas.openxmlformats.org/markup-compatibility/2006">
          <mc:Choice Requires="x14">
            <control shapeId="1028" r:id="rId10" name="Check Box 4">
              <controlPr defaultSize="0" autoFill="0" autoLine="0" autoPict="0">
                <anchor moveWithCells="1">
                  <from>
                    <xdr:col>8</xdr:col>
                    <xdr:colOff>350520</xdr:colOff>
                    <xdr:row>1</xdr:row>
                    <xdr:rowOff>182880</xdr:rowOff>
                  </from>
                  <to>
                    <xdr:col>9</xdr:col>
                    <xdr:colOff>457200</xdr:colOff>
                    <xdr:row>1</xdr:row>
                    <xdr:rowOff>502920</xdr:rowOff>
                  </to>
                </anchor>
              </controlPr>
            </control>
          </mc:Choice>
        </mc:AlternateContent>
        <mc:AlternateContent xmlns:mc="http://schemas.openxmlformats.org/markup-compatibility/2006">
          <mc:Choice Requires="x14">
            <control shapeId="1029" r:id="rId11" name="Check Box 5">
              <controlPr defaultSize="0" autoFill="0" autoLine="0" autoPict="0">
                <anchor moveWithCells="1">
                  <from>
                    <xdr:col>12</xdr:col>
                    <xdr:colOff>121920</xdr:colOff>
                    <xdr:row>1</xdr:row>
                    <xdr:rowOff>198120</xdr:rowOff>
                  </from>
                  <to>
                    <xdr:col>13</xdr:col>
                    <xdr:colOff>91440</xdr:colOff>
                    <xdr:row>1</xdr:row>
                    <xdr:rowOff>518160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CD58B-3F48-44CC-B51C-3E52B4632EA3}">
  <sheetPr codeName="Sheet2"/>
  <dimension ref="A1:L31"/>
  <sheetViews>
    <sheetView workbookViewId="0">
      <selection activeCell="F12" sqref="A1:L31"/>
    </sheetView>
  </sheetViews>
  <sheetFormatPr defaultRowHeight="14.4" x14ac:dyDescent="0.3"/>
  <cols>
    <col min="1" max="1" width="17.77734375" customWidth="1"/>
    <col min="2" max="2" width="21.77734375" customWidth="1"/>
    <col min="3" max="3" width="14.33203125" customWidth="1"/>
    <col min="9" max="9" width="18.88671875" customWidth="1"/>
    <col min="11" max="11" width="14.77734375" customWidth="1"/>
    <col min="12" max="12" width="19.33203125" customWidth="1"/>
  </cols>
  <sheetData>
    <row r="1" spans="1:12" x14ac:dyDescent="0.3">
      <c r="A1" t="s">
        <v>0</v>
      </c>
      <c r="B1" t="s">
        <v>1</v>
      </c>
      <c r="C1" t="s">
        <v>2</v>
      </c>
      <c r="D1" t="s">
        <v>3</v>
      </c>
      <c r="E1" t="s">
        <v>4</v>
      </c>
      <c r="F1" t="s">
        <v>5</v>
      </c>
      <c r="G1" t="s">
        <v>6</v>
      </c>
      <c r="H1" t="s">
        <v>7</v>
      </c>
      <c r="I1" t="s">
        <v>8</v>
      </c>
      <c r="J1" t="s">
        <v>75</v>
      </c>
      <c r="K1" t="s">
        <v>76</v>
      </c>
      <c r="L1" t="s">
        <v>77</v>
      </c>
    </row>
    <row r="2" spans="1:12" x14ac:dyDescent="0.3">
      <c r="A2" t="s">
        <v>9</v>
      </c>
      <c r="B2" t="s">
        <v>39</v>
      </c>
      <c r="C2" t="s">
        <v>69</v>
      </c>
      <c r="D2">
        <f ca="1">RANDBETWEEN(10,100)</f>
        <v>70</v>
      </c>
      <c r="E2">
        <f t="shared" ref="E2:H17" ca="1" si="0">RANDBETWEEN(10,100)</f>
        <v>82</v>
      </c>
      <c r="F2">
        <f t="shared" ca="1" si="0"/>
        <v>92</v>
      </c>
      <c r="G2">
        <f t="shared" ca="1" si="0"/>
        <v>19</v>
      </c>
      <c r="H2">
        <f t="shared" ca="1" si="0"/>
        <v>89</v>
      </c>
      <c r="I2">
        <f ca="1">SUM(D2,E2,F2,G2,H2)</f>
        <v>352</v>
      </c>
      <c r="J2">
        <v>500</v>
      </c>
      <c r="K2" s="1">
        <f ca="1">(I2/J2)</f>
        <v>0.70399999999999996</v>
      </c>
      <c r="L2" s="1">
        <f ca="1">(J2-I2)/J2</f>
        <v>0.29599999999999999</v>
      </c>
    </row>
    <row r="3" spans="1:12" x14ac:dyDescent="0.3">
      <c r="A3" t="s">
        <v>10</v>
      </c>
      <c r="B3" t="s">
        <v>40</v>
      </c>
      <c r="C3" t="s">
        <v>69</v>
      </c>
      <c r="D3">
        <f t="shared" ref="D3:H31" ca="1" si="1">RANDBETWEEN(10,100)</f>
        <v>53</v>
      </c>
      <c r="E3">
        <f t="shared" ca="1" si="0"/>
        <v>45</v>
      </c>
      <c r="F3">
        <f t="shared" ca="1" si="0"/>
        <v>68</v>
      </c>
      <c r="G3">
        <f t="shared" ca="1" si="0"/>
        <v>80</v>
      </c>
      <c r="H3">
        <f t="shared" ca="1" si="0"/>
        <v>19</v>
      </c>
      <c r="I3">
        <f t="shared" ref="I3:I31" ca="1" si="2">SUM(D3,E3,F3,G3,H3)</f>
        <v>265</v>
      </c>
      <c r="J3">
        <v>500</v>
      </c>
      <c r="K3" s="1">
        <f t="shared" ref="K3:K31" ca="1" si="3">(I3/J3)</f>
        <v>0.53</v>
      </c>
      <c r="L3" s="1">
        <f t="shared" ref="L3:L31" ca="1" si="4">(J3-I3)/J3</f>
        <v>0.47</v>
      </c>
    </row>
    <row r="4" spans="1:12" x14ac:dyDescent="0.3">
      <c r="A4" t="s">
        <v>11</v>
      </c>
      <c r="B4" t="s">
        <v>41</v>
      </c>
      <c r="C4" t="s">
        <v>70</v>
      </c>
      <c r="D4">
        <f t="shared" ca="1" si="1"/>
        <v>95</v>
      </c>
      <c r="E4">
        <f t="shared" ca="1" si="0"/>
        <v>86</v>
      </c>
      <c r="F4">
        <f t="shared" ca="1" si="0"/>
        <v>39</v>
      </c>
      <c r="G4">
        <f t="shared" ca="1" si="0"/>
        <v>93</v>
      </c>
      <c r="H4">
        <f t="shared" ca="1" si="0"/>
        <v>63</v>
      </c>
      <c r="I4">
        <f t="shared" ca="1" si="2"/>
        <v>376</v>
      </c>
      <c r="J4">
        <v>500</v>
      </c>
      <c r="K4" s="1">
        <f t="shared" ca="1" si="3"/>
        <v>0.752</v>
      </c>
      <c r="L4" s="1">
        <f t="shared" ca="1" si="4"/>
        <v>0.248</v>
      </c>
    </row>
    <row r="5" spans="1:12" x14ac:dyDescent="0.3">
      <c r="A5" t="s">
        <v>12</v>
      </c>
      <c r="B5" t="s">
        <v>42</v>
      </c>
      <c r="C5" t="s">
        <v>71</v>
      </c>
      <c r="D5">
        <f t="shared" ca="1" si="1"/>
        <v>90</v>
      </c>
      <c r="E5">
        <f t="shared" ca="1" si="0"/>
        <v>79</v>
      </c>
      <c r="F5">
        <f t="shared" ca="1" si="0"/>
        <v>25</v>
      </c>
      <c r="G5">
        <f t="shared" ca="1" si="0"/>
        <v>97</v>
      </c>
      <c r="H5">
        <f t="shared" ca="1" si="0"/>
        <v>36</v>
      </c>
      <c r="I5">
        <f t="shared" ca="1" si="2"/>
        <v>327</v>
      </c>
      <c r="J5">
        <v>500</v>
      </c>
      <c r="K5" s="1">
        <f t="shared" ca="1" si="3"/>
        <v>0.65400000000000003</v>
      </c>
      <c r="L5" s="1">
        <f t="shared" ca="1" si="4"/>
        <v>0.34599999999999997</v>
      </c>
    </row>
    <row r="6" spans="1:12" x14ac:dyDescent="0.3">
      <c r="A6" t="s">
        <v>13</v>
      </c>
      <c r="B6" t="s">
        <v>43</v>
      </c>
      <c r="C6" t="s">
        <v>72</v>
      </c>
      <c r="D6">
        <f t="shared" ca="1" si="1"/>
        <v>81</v>
      </c>
      <c r="E6">
        <f t="shared" ca="1" si="0"/>
        <v>37</v>
      </c>
      <c r="F6">
        <f t="shared" ca="1" si="0"/>
        <v>61</v>
      </c>
      <c r="G6">
        <f t="shared" ca="1" si="0"/>
        <v>47</v>
      </c>
      <c r="H6">
        <f t="shared" ca="1" si="0"/>
        <v>44</v>
      </c>
      <c r="I6">
        <f t="shared" ca="1" si="2"/>
        <v>270</v>
      </c>
      <c r="J6">
        <v>500</v>
      </c>
      <c r="K6" s="1">
        <f t="shared" ca="1" si="3"/>
        <v>0.54</v>
      </c>
      <c r="L6" s="1">
        <f t="shared" ca="1" si="4"/>
        <v>0.46</v>
      </c>
    </row>
    <row r="7" spans="1:12" x14ac:dyDescent="0.3">
      <c r="A7" t="s">
        <v>14</v>
      </c>
      <c r="B7" t="s">
        <v>44</v>
      </c>
      <c r="C7" t="s">
        <v>72</v>
      </c>
      <c r="D7">
        <f t="shared" ca="1" si="1"/>
        <v>15</v>
      </c>
      <c r="E7">
        <f t="shared" ca="1" si="0"/>
        <v>54</v>
      </c>
      <c r="F7">
        <f t="shared" ca="1" si="0"/>
        <v>44</v>
      </c>
      <c r="G7">
        <f t="shared" ca="1" si="0"/>
        <v>21</v>
      </c>
      <c r="H7">
        <f t="shared" ca="1" si="0"/>
        <v>22</v>
      </c>
      <c r="I7">
        <f t="shared" ca="1" si="2"/>
        <v>156</v>
      </c>
      <c r="J7">
        <v>500</v>
      </c>
      <c r="K7" s="1">
        <f t="shared" ca="1" si="3"/>
        <v>0.312</v>
      </c>
      <c r="L7" s="1">
        <f t="shared" ca="1" si="4"/>
        <v>0.68799999999999994</v>
      </c>
    </row>
    <row r="8" spans="1:12" x14ac:dyDescent="0.3">
      <c r="A8" t="s">
        <v>15</v>
      </c>
      <c r="B8" t="s">
        <v>45</v>
      </c>
      <c r="C8" t="s">
        <v>73</v>
      </c>
      <c r="D8">
        <f t="shared" ca="1" si="1"/>
        <v>58</v>
      </c>
      <c r="E8">
        <f t="shared" ca="1" si="0"/>
        <v>47</v>
      </c>
      <c r="F8">
        <f t="shared" ca="1" si="0"/>
        <v>86</v>
      </c>
      <c r="G8">
        <f t="shared" ca="1" si="0"/>
        <v>44</v>
      </c>
      <c r="H8">
        <f t="shared" ca="1" si="0"/>
        <v>81</v>
      </c>
      <c r="I8">
        <f t="shared" ca="1" si="2"/>
        <v>316</v>
      </c>
      <c r="J8">
        <v>500</v>
      </c>
      <c r="K8" s="1">
        <f t="shared" ca="1" si="3"/>
        <v>0.63200000000000001</v>
      </c>
      <c r="L8" s="1">
        <f t="shared" ca="1" si="4"/>
        <v>0.36799999999999999</v>
      </c>
    </row>
    <row r="9" spans="1:12" x14ac:dyDescent="0.3">
      <c r="A9" t="s">
        <v>16</v>
      </c>
      <c r="B9" t="s">
        <v>46</v>
      </c>
      <c r="C9" t="s">
        <v>71</v>
      </c>
      <c r="D9">
        <f t="shared" ca="1" si="1"/>
        <v>65</v>
      </c>
      <c r="E9">
        <f t="shared" ca="1" si="0"/>
        <v>26</v>
      </c>
      <c r="F9">
        <f t="shared" ca="1" si="0"/>
        <v>84</v>
      </c>
      <c r="G9">
        <f t="shared" ca="1" si="0"/>
        <v>58</v>
      </c>
      <c r="H9">
        <f t="shared" ca="1" si="0"/>
        <v>17</v>
      </c>
      <c r="I9">
        <f t="shared" ca="1" si="2"/>
        <v>250</v>
      </c>
      <c r="J9">
        <v>500</v>
      </c>
      <c r="K9" s="1">
        <f t="shared" ca="1" si="3"/>
        <v>0.5</v>
      </c>
      <c r="L9" s="1">
        <f t="shared" ca="1" si="4"/>
        <v>0.5</v>
      </c>
    </row>
    <row r="10" spans="1:12" x14ac:dyDescent="0.3">
      <c r="A10" t="s">
        <v>17</v>
      </c>
      <c r="B10" t="s">
        <v>47</v>
      </c>
      <c r="C10" t="s">
        <v>74</v>
      </c>
      <c r="D10">
        <f t="shared" ca="1" si="1"/>
        <v>13</v>
      </c>
      <c r="E10">
        <f t="shared" ca="1" si="0"/>
        <v>95</v>
      </c>
      <c r="F10">
        <f t="shared" ca="1" si="0"/>
        <v>80</v>
      </c>
      <c r="G10">
        <f t="shared" ca="1" si="0"/>
        <v>88</v>
      </c>
      <c r="H10">
        <f t="shared" ca="1" si="0"/>
        <v>29</v>
      </c>
      <c r="I10">
        <f t="shared" ca="1" si="2"/>
        <v>305</v>
      </c>
      <c r="J10">
        <v>500</v>
      </c>
      <c r="K10" s="1">
        <f t="shared" ca="1" si="3"/>
        <v>0.61</v>
      </c>
      <c r="L10" s="1">
        <f t="shared" ca="1" si="4"/>
        <v>0.39</v>
      </c>
    </row>
    <row r="11" spans="1:12" x14ac:dyDescent="0.3">
      <c r="A11" t="s">
        <v>18</v>
      </c>
      <c r="B11" t="s">
        <v>48</v>
      </c>
      <c r="C11" t="s">
        <v>74</v>
      </c>
      <c r="D11">
        <f t="shared" ca="1" si="1"/>
        <v>100</v>
      </c>
      <c r="E11">
        <f t="shared" ca="1" si="0"/>
        <v>28</v>
      </c>
      <c r="F11">
        <f t="shared" ca="1" si="0"/>
        <v>38</v>
      </c>
      <c r="G11">
        <f t="shared" ca="1" si="0"/>
        <v>64</v>
      </c>
      <c r="H11">
        <f t="shared" ca="1" si="0"/>
        <v>59</v>
      </c>
      <c r="I11">
        <f t="shared" ca="1" si="2"/>
        <v>289</v>
      </c>
      <c r="J11">
        <v>500</v>
      </c>
      <c r="K11" s="1">
        <f t="shared" ca="1" si="3"/>
        <v>0.57799999999999996</v>
      </c>
      <c r="L11" s="1">
        <f t="shared" ca="1" si="4"/>
        <v>0.42199999999999999</v>
      </c>
    </row>
    <row r="12" spans="1:12" x14ac:dyDescent="0.3">
      <c r="A12" t="s">
        <v>19</v>
      </c>
      <c r="B12" t="s">
        <v>49</v>
      </c>
      <c r="C12" t="s">
        <v>73</v>
      </c>
      <c r="D12">
        <f t="shared" ca="1" si="1"/>
        <v>15</v>
      </c>
      <c r="E12">
        <f t="shared" ca="1" si="0"/>
        <v>41</v>
      </c>
      <c r="F12">
        <f t="shared" ca="1" si="0"/>
        <v>61</v>
      </c>
      <c r="G12">
        <f t="shared" ca="1" si="0"/>
        <v>72</v>
      </c>
      <c r="H12">
        <f t="shared" ca="1" si="0"/>
        <v>29</v>
      </c>
      <c r="I12">
        <f t="shared" ca="1" si="2"/>
        <v>218</v>
      </c>
      <c r="J12">
        <v>500</v>
      </c>
      <c r="K12" s="1">
        <f t="shared" ca="1" si="3"/>
        <v>0.436</v>
      </c>
      <c r="L12" s="1">
        <f t="shared" ca="1" si="4"/>
        <v>0.56399999999999995</v>
      </c>
    </row>
    <row r="13" spans="1:12" x14ac:dyDescent="0.3">
      <c r="A13" t="s">
        <v>20</v>
      </c>
      <c r="B13" t="s">
        <v>50</v>
      </c>
      <c r="C13" t="s">
        <v>69</v>
      </c>
      <c r="D13">
        <f t="shared" ca="1" si="1"/>
        <v>14</v>
      </c>
      <c r="E13">
        <f t="shared" ca="1" si="0"/>
        <v>47</v>
      </c>
      <c r="F13">
        <f t="shared" ca="1" si="0"/>
        <v>46</v>
      </c>
      <c r="G13">
        <f t="shared" ca="1" si="0"/>
        <v>72</v>
      </c>
      <c r="H13">
        <f t="shared" ca="1" si="0"/>
        <v>66</v>
      </c>
      <c r="I13">
        <f t="shared" ca="1" si="2"/>
        <v>245</v>
      </c>
      <c r="J13">
        <v>500</v>
      </c>
      <c r="K13" s="1">
        <f t="shared" ca="1" si="3"/>
        <v>0.49</v>
      </c>
      <c r="L13" s="1">
        <f t="shared" ca="1" si="4"/>
        <v>0.51</v>
      </c>
    </row>
    <row r="14" spans="1:12" x14ac:dyDescent="0.3">
      <c r="A14" t="s">
        <v>21</v>
      </c>
      <c r="B14" t="s">
        <v>51</v>
      </c>
      <c r="C14" t="s">
        <v>74</v>
      </c>
      <c r="D14">
        <f t="shared" ca="1" si="1"/>
        <v>88</v>
      </c>
      <c r="E14">
        <f t="shared" ca="1" si="0"/>
        <v>46</v>
      </c>
      <c r="F14">
        <f t="shared" ca="1" si="0"/>
        <v>60</v>
      </c>
      <c r="G14">
        <f t="shared" ca="1" si="0"/>
        <v>70</v>
      </c>
      <c r="H14">
        <f t="shared" ca="1" si="0"/>
        <v>39</v>
      </c>
      <c r="I14">
        <f t="shared" ca="1" si="2"/>
        <v>303</v>
      </c>
      <c r="J14">
        <v>500</v>
      </c>
      <c r="K14" s="1">
        <f t="shared" ca="1" si="3"/>
        <v>0.60599999999999998</v>
      </c>
      <c r="L14" s="1">
        <f t="shared" ca="1" si="4"/>
        <v>0.39400000000000002</v>
      </c>
    </row>
    <row r="15" spans="1:12" x14ac:dyDescent="0.3">
      <c r="A15" t="s">
        <v>22</v>
      </c>
      <c r="B15" t="s">
        <v>52</v>
      </c>
      <c r="C15" t="s">
        <v>74</v>
      </c>
      <c r="D15">
        <f t="shared" ca="1" si="1"/>
        <v>48</v>
      </c>
      <c r="E15">
        <f t="shared" ca="1" si="0"/>
        <v>24</v>
      </c>
      <c r="F15">
        <f t="shared" ca="1" si="0"/>
        <v>15</v>
      </c>
      <c r="G15">
        <f t="shared" ca="1" si="0"/>
        <v>32</v>
      </c>
      <c r="H15">
        <f t="shared" ca="1" si="0"/>
        <v>33</v>
      </c>
      <c r="I15">
        <f t="shared" ca="1" si="2"/>
        <v>152</v>
      </c>
      <c r="J15">
        <v>500</v>
      </c>
      <c r="K15" s="1">
        <f t="shared" ca="1" si="3"/>
        <v>0.30399999999999999</v>
      </c>
      <c r="L15" s="1">
        <f t="shared" ca="1" si="4"/>
        <v>0.69599999999999995</v>
      </c>
    </row>
    <row r="16" spans="1:12" x14ac:dyDescent="0.3">
      <c r="A16" t="s">
        <v>23</v>
      </c>
      <c r="B16" t="s">
        <v>53</v>
      </c>
      <c r="C16" t="s">
        <v>69</v>
      </c>
      <c r="D16">
        <f t="shared" ca="1" si="1"/>
        <v>66</v>
      </c>
      <c r="E16">
        <f t="shared" ca="1" si="0"/>
        <v>34</v>
      </c>
      <c r="F16">
        <f t="shared" ca="1" si="0"/>
        <v>24</v>
      </c>
      <c r="G16">
        <f t="shared" ca="1" si="0"/>
        <v>66</v>
      </c>
      <c r="H16">
        <f t="shared" ca="1" si="0"/>
        <v>20</v>
      </c>
      <c r="I16">
        <f t="shared" ca="1" si="2"/>
        <v>210</v>
      </c>
      <c r="J16">
        <v>500</v>
      </c>
      <c r="K16" s="1">
        <f t="shared" ca="1" si="3"/>
        <v>0.42</v>
      </c>
      <c r="L16" s="1">
        <f t="shared" ca="1" si="4"/>
        <v>0.57999999999999996</v>
      </c>
    </row>
    <row r="17" spans="1:12" x14ac:dyDescent="0.3">
      <c r="A17" t="s">
        <v>24</v>
      </c>
      <c r="B17" t="s">
        <v>54</v>
      </c>
      <c r="C17" t="s">
        <v>73</v>
      </c>
      <c r="D17">
        <f t="shared" ca="1" si="1"/>
        <v>40</v>
      </c>
      <c r="E17">
        <f t="shared" ca="1" si="0"/>
        <v>96</v>
      </c>
      <c r="F17">
        <f t="shared" ca="1" si="0"/>
        <v>45</v>
      </c>
      <c r="G17">
        <f t="shared" ca="1" si="0"/>
        <v>33</v>
      </c>
      <c r="H17">
        <f t="shared" ca="1" si="0"/>
        <v>27</v>
      </c>
      <c r="I17">
        <f t="shared" ca="1" si="2"/>
        <v>241</v>
      </c>
      <c r="J17">
        <v>500</v>
      </c>
      <c r="K17" s="1">
        <f t="shared" ca="1" si="3"/>
        <v>0.48199999999999998</v>
      </c>
      <c r="L17" s="1">
        <f t="shared" ca="1" si="4"/>
        <v>0.51800000000000002</v>
      </c>
    </row>
    <row r="18" spans="1:12" x14ac:dyDescent="0.3">
      <c r="A18" t="s">
        <v>25</v>
      </c>
      <c r="B18" t="s">
        <v>55</v>
      </c>
      <c r="C18" t="s">
        <v>70</v>
      </c>
      <c r="D18">
        <f t="shared" ca="1" si="1"/>
        <v>100</v>
      </c>
      <c r="E18">
        <f t="shared" ca="1" si="1"/>
        <v>67</v>
      </c>
      <c r="F18">
        <f t="shared" ca="1" si="1"/>
        <v>45</v>
      </c>
      <c r="G18">
        <f t="shared" ca="1" si="1"/>
        <v>86</v>
      </c>
      <c r="H18">
        <f t="shared" ca="1" si="1"/>
        <v>24</v>
      </c>
      <c r="I18">
        <f t="shared" ca="1" si="2"/>
        <v>322</v>
      </c>
      <c r="J18">
        <v>500</v>
      </c>
      <c r="K18" s="1">
        <f t="shared" ca="1" si="3"/>
        <v>0.64400000000000002</v>
      </c>
      <c r="L18" s="1">
        <f t="shared" ca="1" si="4"/>
        <v>0.35599999999999998</v>
      </c>
    </row>
    <row r="19" spans="1:12" x14ac:dyDescent="0.3">
      <c r="A19" t="s">
        <v>26</v>
      </c>
      <c r="B19" t="s">
        <v>56</v>
      </c>
      <c r="C19" t="s">
        <v>72</v>
      </c>
      <c r="D19">
        <f t="shared" ca="1" si="1"/>
        <v>72</v>
      </c>
      <c r="E19">
        <f t="shared" ca="1" si="1"/>
        <v>44</v>
      </c>
      <c r="F19">
        <f t="shared" ca="1" si="1"/>
        <v>57</v>
      </c>
      <c r="G19">
        <f t="shared" ca="1" si="1"/>
        <v>59</v>
      </c>
      <c r="H19">
        <f t="shared" ca="1" si="1"/>
        <v>98</v>
      </c>
      <c r="I19">
        <f t="shared" ca="1" si="2"/>
        <v>330</v>
      </c>
      <c r="J19">
        <v>500</v>
      </c>
      <c r="K19" s="1">
        <f t="shared" ca="1" si="3"/>
        <v>0.66</v>
      </c>
      <c r="L19" s="1">
        <f t="shared" ca="1" si="4"/>
        <v>0.34</v>
      </c>
    </row>
    <row r="20" spans="1:12" x14ac:dyDescent="0.3">
      <c r="A20" t="s">
        <v>27</v>
      </c>
      <c r="B20" t="s">
        <v>57</v>
      </c>
      <c r="C20" t="s">
        <v>70</v>
      </c>
      <c r="D20">
        <f t="shared" ca="1" si="1"/>
        <v>46</v>
      </c>
      <c r="E20">
        <f t="shared" ca="1" si="1"/>
        <v>59</v>
      </c>
      <c r="F20">
        <f t="shared" ca="1" si="1"/>
        <v>30</v>
      </c>
      <c r="G20">
        <f t="shared" ca="1" si="1"/>
        <v>47</v>
      </c>
      <c r="H20">
        <f t="shared" ca="1" si="1"/>
        <v>48</v>
      </c>
      <c r="I20">
        <f t="shared" ca="1" si="2"/>
        <v>230</v>
      </c>
      <c r="J20">
        <v>500</v>
      </c>
      <c r="K20" s="1">
        <f t="shared" ca="1" si="3"/>
        <v>0.46</v>
      </c>
      <c r="L20" s="1">
        <f t="shared" ca="1" si="4"/>
        <v>0.54</v>
      </c>
    </row>
    <row r="21" spans="1:12" x14ac:dyDescent="0.3">
      <c r="A21" t="s">
        <v>28</v>
      </c>
      <c r="B21" t="s">
        <v>58</v>
      </c>
      <c r="C21" t="s">
        <v>70</v>
      </c>
      <c r="D21">
        <f t="shared" ca="1" si="1"/>
        <v>97</v>
      </c>
      <c r="E21">
        <f t="shared" ca="1" si="1"/>
        <v>16</v>
      </c>
      <c r="F21">
        <f t="shared" ca="1" si="1"/>
        <v>18</v>
      </c>
      <c r="G21">
        <f t="shared" ca="1" si="1"/>
        <v>41</v>
      </c>
      <c r="H21">
        <f t="shared" ca="1" si="1"/>
        <v>28</v>
      </c>
      <c r="I21">
        <f t="shared" ca="1" si="2"/>
        <v>200</v>
      </c>
      <c r="J21">
        <v>500</v>
      </c>
      <c r="K21" s="1">
        <f t="shared" ca="1" si="3"/>
        <v>0.4</v>
      </c>
      <c r="L21" s="1">
        <f t="shared" ca="1" si="4"/>
        <v>0.6</v>
      </c>
    </row>
    <row r="22" spans="1:12" x14ac:dyDescent="0.3">
      <c r="A22" t="s">
        <v>29</v>
      </c>
      <c r="B22" t="s">
        <v>59</v>
      </c>
      <c r="C22" t="s">
        <v>71</v>
      </c>
      <c r="D22">
        <f t="shared" ca="1" si="1"/>
        <v>10</v>
      </c>
      <c r="E22">
        <f t="shared" ca="1" si="1"/>
        <v>95</v>
      </c>
      <c r="F22">
        <f t="shared" ca="1" si="1"/>
        <v>48</v>
      </c>
      <c r="G22">
        <f t="shared" ca="1" si="1"/>
        <v>65</v>
      </c>
      <c r="H22">
        <f t="shared" ca="1" si="1"/>
        <v>16</v>
      </c>
      <c r="I22">
        <f t="shared" ca="1" si="2"/>
        <v>234</v>
      </c>
      <c r="J22">
        <v>500</v>
      </c>
      <c r="K22" s="1">
        <f t="shared" ca="1" si="3"/>
        <v>0.46800000000000003</v>
      </c>
      <c r="L22" s="1">
        <f t="shared" ca="1" si="4"/>
        <v>0.53200000000000003</v>
      </c>
    </row>
    <row r="23" spans="1:12" x14ac:dyDescent="0.3">
      <c r="A23" t="s">
        <v>30</v>
      </c>
      <c r="B23" t="s">
        <v>60</v>
      </c>
      <c r="C23" t="s">
        <v>71</v>
      </c>
      <c r="D23">
        <f t="shared" ca="1" si="1"/>
        <v>81</v>
      </c>
      <c r="E23">
        <f t="shared" ca="1" si="1"/>
        <v>66</v>
      </c>
      <c r="F23">
        <f t="shared" ca="1" si="1"/>
        <v>64</v>
      </c>
      <c r="G23">
        <f t="shared" ca="1" si="1"/>
        <v>97</v>
      </c>
      <c r="H23">
        <f t="shared" ca="1" si="1"/>
        <v>42</v>
      </c>
      <c r="I23">
        <f t="shared" ca="1" si="2"/>
        <v>350</v>
      </c>
      <c r="J23">
        <v>500</v>
      </c>
      <c r="K23" s="1">
        <f t="shared" ca="1" si="3"/>
        <v>0.7</v>
      </c>
      <c r="L23" s="1">
        <f t="shared" ca="1" si="4"/>
        <v>0.3</v>
      </c>
    </row>
    <row r="24" spans="1:12" x14ac:dyDescent="0.3">
      <c r="A24" t="s">
        <v>31</v>
      </c>
      <c r="B24" t="s">
        <v>61</v>
      </c>
      <c r="C24" t="s">
        <v>74</v>
      </c>
      <c r="D24">
        <f t="shared" ca="1" si="1"/>
        <v>75</v>
      </c>
      <c r="E24">
        <f t="shared" ca="1" si="1"/>
        <v>19</v>
      </c>
      <c r="F24">
        <f t="shared" ca="1" si="1"/>
        <v>36</v>
      </c>
      <c r="G24">
        <f t="shared" ca="1" si="1"/>
        <v>33</v>
      </c>
      <c r="H24">
        <f t="shared" ca="1" si="1"/>
        <v>43</v>
      </c>
      <c r="I24">
        <f t="shared" ca="1" si="2"/>
        <v>206</v>
      </c>
      <c r="J24">
        <v>500</v>
      </c>
      <c r="K24" s="1">
        <f t="shared" ca="1" si="3"/>
        <v>0.41199999999999998</v>
      </c>
      <c r="L24" s="1">
        <f t="shared" ca="1" si="4"/>
        <v>0.58799999999999997</v>
      </c>
    </row>
    <row r="25" spans="1:12" x14ac:dyDescent="0.3">
      <c r="A25" t="s">
        <v>32</v>
      </c>
      <c r="B25" t="s">
        <v>62</v>
      </c>
      <c r="C25" t="s">
        <v>69</v>
      </c>
      <c r="D25">
        <f t="shared" ca="1" si="1"/>
        <v>49</v>
      </c>
      <c r="E25">
        <f t="shared" ca="1" si="1"/>
        <v>28</v>
      </c>
      <c r="F25">
        <f t="shared" ca="1" si="1"/>
        <v>17</v>
      </c>
      <c r="G25">
        <f t="shared" ca="1" si="1"/>
        <v>30</v>
      </c>
      <c r="H25">
        <f t="shared" ca="1" si="1"/>
        <v>75</v>
      </c>
      <c r="I25">
        <f t="shared" ca="1" si="2"/>
        <v>199</v>
      </c>
      <c r="J25">
        <v>500</v>
      </c>
      <c r="K25" s="1">
        <f t="shared" ca="1" si="3"/>
        <v>0.39800000000000002</v>
      </c>
      <c r="L25" s="1">
        <f t="shared" ca="1" si="4"/>
        <v>0.60199999999999998</v>
      </c>
    </row>
    <row r="26" spans="1:12" x14ac:dyDescent="0.3">
      <c r="A26" t="s">
        <v>33</v>
      </c>
      <c r="B26" t="s">
        <v>63</v>
      </c>
      <c r="C26" t="s">
        <v>69</v>
      </c>
      <c r="D26">
        <f t="shared" ca="1" si="1"/>
        <v>87</v>
      </c>
      <c r="E26">
        <f t="shared" ca="1" si="1"/>
        <v>97</v>
      </c>
      <c r="F26">
        <f t="shared" ca="1" si="1"/>
        <v>25</v>
      </c>
      <c r="G26">
        <f t="shared" ca="1" si="1"/>
        <v>40</v>
      </c>
      <c r="H26">
        <f t="shared" ca="1" si="1"/>
        <v>91</v>
      </c>
      <c r="I26">
        <f t="shared" ca="1" si="2"/>
        <v>340</v>
      </c>
      <c r="J26">
        <v>500</v>
      </c>
      <c r="K26" s="1">
        <f t="shared" ca="1" si="3"/>
        <v>0.68</v>
      </c>
      <c r="L26" s="1">
        <f t="shared" ca="1" si="4"/>
        <v>0.32</v>
      </c>
    </row>
    <row r="27" spans="1:12" x14ac:dyDescent="0.3">
      <c r="A27" t="s">
        <v>34</v>
      </c>
      <c r="B27" t="s">
        <v>64</v>
      </c>
      <c r="C27" t="s">
        <v>73</v>
      </c>
      <c r="D27">
        <f t="shared" ca="1" si="1"/>
        <v>37</v>
      </c>
      <c r="E27">
        <f t="shared" ca="1" si="1"/>
        <v>67</v>
      </c>
      <c r="F27">
        <f t="shared" ca="1" si="1"/>
        <v>42</v>
      </c>
      <c r="G27">
        <f t="shared" ca="1" si="1"/>
        <v>19</v>
      </c>
      <c r="H27">
        <f t="shared" ca="1" si="1"/>
        <v>89</v>
      </c>
      <c r="I27">
        <f t="shared" ca="1" si="2"/>
        <v>254</v>
      </c>
      <c r="J27">
        <v>500</v>
      </c>
      <c r="K27" s="1">
        <f t="shared" ca="1" si="3"/>
        <v>0.50800000000000001</v>
      </c>
      <c r="L27" s="1">
        <f t="shared" ca="1" si="4"/>
        <v>0.49199999999999999</v>
      </c>
    </row>
    <row r="28" spans="1:12" x14ac:dyDescent="0.3">
      <c r="A28" t="s">
        <v>35</v>
      </c>
      <c r="B28" t="s">
        <v>65</v>
      </c>
      <c r="C28" t="s">
        <v>71</v>
      </c>
      <c r="D28">
        <f t="shared" ca="1" si="1"/>
        <v>52</v>
      </c>
      <c r="E28">
        <f t="shared" ca="1" si="1"/>
        <v>11</v>
      </c>
      <c r="F28">
        <f t="shared" ca="1" si="1"/>
        <v>77</v>
      </c>
      <c r="G28">
        <f t="shared" ca="1" si="1"/>
        <v>45</v>
      </c>
      <c r="H28">
        <f t="shared" ca="1" si="1"/>
        <v>22</v>
      </c>
      <c r="I28">
        <f t="shared" ca="1" si="2"/>
        <v>207</v>
      </c>
      <c r="J28">
        <v>500</v>
      </c>
      <c r="K28" s="1">
        <f t="shared" ca="1" si="3"/>
        <v>0.41399999999999998</v>
      </c>
      <c r="L28" s="1">
        <f t="shared" ca="1" si="4"/>
        <v>0.58599999999999997</v>
      </c>
    </row>
    <row r="29" spans="1:12" x14ac:dyDescent="0.3">
      <c r="A29" t="s">
        <v>36</v>
      </c>
      <c r="B29" t="s">
        <v>66</v>
      </c>
      <c r="C29" t="s">
        <v>74</v>
      </c>
      <c r="D29">
        <f t="shared" ca="1" si="1"/>
        <v>48</v>
      </c>
      <c r="E29">
        <f t="shared" ca="1" si="1"/>
        <v>55</v>
      </c>
      <c r="F29">
        <f t="shared" ca="1" si="1"/>
        <v>96</v>
      </c>
      <c r="G29">
        <f t="shared" ca="1" si="1"/>
        <v>100</v>
      </c>
      <c r="H29">
        <f t="shared" ca="1" si="1"/>
        <v>51</v>
      </c>
      <c r="I29">
        <f t="shared" ca="1" si="2"/>
        <v>350</v>
      </c>
      <c r="J29">
        <v>500</v>
      </c>
      <c r="K29" s="1">
        <f t="shared" ca="1" si="3"/>
        <v>0.7</v>
      </c>
      <c r="L29" s="1">
        <f t="shared" ca="1" si="4"/>
        <v>0.3</v>
      </c>
    </row>
    <row r="30" spans="1:12" x14ac:dyDescent="0.3">
      <c r="A30" t="s">
        <v>37</v>
      </c>
      <c r="B30" t="s">
        <v>67</v>
      </c>
      <c r="C30" t="s">
        <v>69</v>
      </c>
      <c r="D30">
        <f t="shared" ca="1" si="1"/>
        <v>86</v>
      </c>
      <c r="E30">
        <f t="shared" ca="1" si="1"/>
        <v>13</v>
      </c>
      <c r="F30">
        <f t="shared" ca="1" si="1"/>
        <v>86</v>
      </c>
      <c r="G30">
        <f t="shared" ca="1" si="1"/>
        <v>18</v>
      </c>
      <c r="H30">
        <f t="shared" ca="1" si="1"/>
        <v>49</v>
      </c>
      <c r="I30">
        <f t="shared" ca="1" si="2"/>
        <v>252</v>
      </c>
      <c r="J30">
        <v>500</v>
      </c>
      <c r="K30" s="1">
        <f t="shared" ca="1" si="3"/>
        <v>0.504</v>
      </c>
      <c r="L30" s="1">
        <f t="shared" ca="1" si="4"/>
        <v>0.496</v>
      </c>
    </row>
    <row r="31" spans="1:12" x14ac:dyDescent="0.3">
      <c r="A31" t="s">
        <v>38</v>
      </c>
      <c r="B31" t="s">
        <v>68</v>
      </c>
      <c r="C31" t="s">
        <v>74</v>
      </c>
      <c r="D31">
        <f t="shared" ca="1" si="1"/>
        <v>90</v>
      </c>
      <c r="E31">
        <f t="shared" ca="1" si="1"/>
        <v>33</v>
      </c>
      <c r="F31">
        <f t="shared" ca="1" si="1"/>
        <v>19</v>
      </c>
      <c r="G31">
        <f t="shared" ca="1" si="1"/>
        <v>33</v>
      </c>
      <c r="H31">
        <f t="shared" ca="1" si="1"/>
        <v>78</v>
      </c>
      <c r="I31">
        <f t="shared" ca="1" si="2"/>
        <v>253</v>
      </c>
      <c r="J31">
        <v>500</v>
      </c>
      <c r="K31" s="1">
        <f t="shared" ca="1" si="3"/>
        <v>0.50600000000000001</v>
      </c>
      <c r="L31" s="1">
        <f t="shared" ca="1" si="4"/>
        <v>0.49399999999999999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Sudipta Sarkar</dc:creator>
  <cp:lastModifiedBy>Sudipta Sarkar</cp:lastModifiedBy>
  <dcterms:created xsi:type="dcterms:W3CDTF">2025-02-21T11:48:01Z</dcterms:created>
  <dcterms:modified xsi:type="dcterms:W3CDTF">2025-02-23T12:03:26Z</dcterms:modified>
</cp:coreProperties>
</file>